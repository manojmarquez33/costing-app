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v\"/>
    </mc:Choice>
  </mc:AlternateContent>
  <xr:revisionPtr revIDLastSave="0" documentId="8_{C4C5961B-6C98-4DFB-B8C4-E1789C4FEDE7}" xr6:coauthVersionLast="47" xr6:coauthVersionMax="47" xr10:uidLastSave="{00000000-0000-0000-0000-000000000000}"/>
  <bookViews>
    <workbookView xWindow="-120" yWindow="-120" windowWidth="29040" windowHeight="15720" xr2:uid="{620D7906-996D-4E6A-AD96-7DF02C9BBA57}"/>
  </bookViews>
  <sheets>
    <sheet name="REV-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1" l="1"/>
  <c r="S70" i="1"/>
  <c r="S22" i="1" l="1"/>
  <c r="R21" i="1"/>
  <c r="R20" i="1"/>
  <c r="L19" i="1"/>
  <c r="O19" i="1" s="1"/>
  <c r="J19" i="1"/>
  <c r="J21" i="1" s="1"/>
  <c r="K21" i="1" s="1"/>
  <c r="L18" i="1"/>
  <c r="J18" i="1"/>
  <c r="L17" i="1"/>
  <c r="N68" i="1"/>
  <c r="N66" i="1"/>
  <c r="Q57" i="1"/>
  <c r="P56" i="1"/>
  <c r="Q56" i="1" s="1"/>
  <c r="R56" i="1" s="1"/>
  <c r="P55" i="1"/>
  <c r="S55" i="1" s="1"/>
  <c r="P54" i="1"/>
  <c r="S54" i="1" s="1"/>
  <c r="P53" i="1"/>
  <c r="S53" i="1" s="1"/>
  <c r="P52" i="1"/>
  <c r="S52" i="1" s="1"/>
  <c r="P51" i="1"/>
  <c r="Q51" i="1" s="1"/>
  <c r="R51" i="1" s="1"/>
  <c r="P50" i="1"/>
  <c r="S50" i="1" s="1"/>
  <c r="P49" i="1"/>
  <c r="S49" i="1" s="1"/>
  <c r="P48" i="1"/>
  <c r="P47" i="1"/>
  <c r="S47" i="1" s="1"/>
  <c r="P46" i="1"/>
  <c r="Q46" i="1" s="1"/>
  <c r="R46" i="1" s="1"/>
  <c r="P45" i="1"/>
  <c r="P44" i="1"/>
  <c r="S44" i="1" s="1"/>
  <c r="P43" i="1"/>
  <c r="S43" i="1" s="1"/>
  <c r="P42" i="1"/>
  <c r="S42" i="1" s="1"/>
  <c r="P41" i="1"/>
  <c r="Q41" i="1" s="1"/>
  <c r="R41" i="1" s="1"/>
  <c r="S40" i="1"/>
  <c r="L40" i="1"/>
  <c r="O40" i="1" s="1"/>
  <c r="Q40" i="1" s="1"/>
  <c r="R40" i="1" s="1"/>
  <c r="S39" i="1"/>
  <c r="L39" i="1"/>
  <c r="S38" i="1"/>
  <c r="L38" i="1"/>
  <c r="M38" i="1" s="1"/>
  <c r="S37" i="1"/>
  <c r="L37" i="1"/>
  <c r="O37" i="1" s="1"/>
  <c r="Q37" i="1" s="1"/>
  <c r="R37" i="1" s="1"/>
  <c r="S36" i="1"/>
  <c r="L36" i="1"/>
  <c r="S35" i="1"/>
  <c r="N35" i="1"/>
  <c r="L35" i="1"/>
  <c r="M35" i="1" s="1"/>
  <c r="S34" i="1"/>
  <c r="N34" i="1"/>
  <c r="L34" i="1"/>
  <c r="M34" i="1" s="1"/>
  <c r="S33" i="1"/>
  <c r="N33" i="1"/>
  <c r="O33" i="1" s="1"/>
  <c r="Q33" i="1" s="1"/>
  <c r="R33" i="1" s="1"/>
  <c r="L33" i="1"/>
  <c r="M33" i="1" s="1"/>
  <c r="S32" i="1"/>
  <c r="N32" i="1"/>
  <c r="L32" i="1"/>
  <c r="M32" i="1" s="1"/>
  <c r="S31" i="1"/>
  <c r="N31" i="1"/>
  <c r="L31" i="1"/>
  <c r="M31" i="1" s="1"/>
  <c r="S30" i="1"/>
  <c r="N30" i="1"/>
  <c r="L30" i="1"/>
  <c r="M30" i="1" s="1"/>
  <c r="S29" i="1"/>
  <c r="S69" i="1" s="1"/>
  <c r="N29" i="1"/>
  <c r="L29" i="1"/>
  <c r="M29" i="1" s="1"/>
  <c r="S28" i="1"/>
  <c r="S67" i="1" s="1"/>
  <c r="N28" i="1"/>
  <c r="L28" i="1"/>
  <c r="M28" i="1" s="1"/>
  <c r="S11" i="1"/>
  <c r="S66" i="1" s="1"/>
  <c r="R10" i="1"/>
  <c r="O72" i="1" s="1"/>
  <c r="R9" i="1"/>
  <c r="N69" i="1"/>
  <c r="L8" i="1"/>
  <c r="J8" i="1"/>
  <c r="M8" i="1" s="1"/>
  <c r="M69" i="1" s="1"/>
  <c r="L7" i="1"/>
  <c r="J7" i="1"/>
  <c r="N65" i="1"/>
  <c r="L6" i="1"/>
  <c r="M6" i="1" s="1"/>
  <c r="Q49" i="1" l="1"/>
  <c r="R49" i="1" s="1"/>
  <c r="T49" i="1" s="1"/>
  <c r="S68" i="1"/>
  <c r="J10" i="1"/>
  <c r="K10" i="1" s="1"/>
  <c r="S57" i="1" s="1"/>
  <c r="O74" i="1" s="1"/>
  <c r="O31" i="1"/>
  <c r="Q31" i="1" s="1"/>
  <c r="R31" i="1" s="1"/>
  <c r="O35" i="1"/>
  <c r="Q35" i="1" s="1"/>
  <c r="R35" i="1" s="1"/>
  <c r="T35" i="1" s="1"/>
  <c r="O18" i="1"/>
  <c r="L20" i="1"/>
  <c r="M18" i="1"/>
  <c r="M19" i="1"/>
  <c r="O17" i="1"/>
  <c r="O30" i="1"/>
  <c r="Q30" i="1" s="1"/>
  <c r="R30" i="1" s="1"/>
  <c r="U30" i="1" s="1"/>
  <c r="O34" i="1"/>
  <c r="Q34" i="1" s="1"/>
  <c r="R34" i="1" s="1"/>
  <c r="U34" i="1" s="1"/>
  <c r="O38" i="1"/>
  <c r="Q38" i="1" s="1"/>
  <c r="R38" i="1" s="1"/>
  <c r="S46" i="1"/>
  <c r="M17" i="1"/>
  <c r="O29" i="1"/>
  <c r="Q29" i="1" s="1"/>
  <c r="R29" i="1" s="1"/>
  <c r="S56" i="1"/>
  <c r="T56" i="1" s="1"/>
  <c r="S41" i="1"/>
  <c r="S51" i="1"/>
  <c r="T51" i="1" s="1"/>
  <c r="R57" i="1"/>
  <c r="T57" i="1" s="1"/>
  <c r="U38" i="1"/>
  <c r="T38" i="1"/>
  <c r="T40" i="1"/>
  <c r="U35" i="1"/>
  <c r="S71" i="1"/>
  <c r="T37" i="1"/>
  <c r="M65" i="1"/>
  <c r="O65" i="1" s="1"/>
  <c r="U33" i="1"/>
  <c r="T33" i="1"/>
  <c r="O8" i="1"/>
  <c r="Q42" i="1"/>
  <c r="R42" i="1" s="1"/>
  <c r="T42" i="1" s="1"/>
  <c r="L9" i="1"/>
  <c r="Q50" i="1"/>
  <c r="R50" i="1" s="1"/>
  <c r="T50" i="1" s="1"/>
  <c r="Q54" i="1"/>
  <c r="R54" i="1" s="1"/>
  <c r="T54" i="1" s="1"/>
  <c r="O28" i="1"/>
  <c r="Q28" i="1" s="1"/>
  <c r="R28" i="1" s="1"/>
  <c r="M40" i="1"/>
  <c r="M68" i="1" s="1"/>
  <c r="O68" i="1" s="1"/>
  <c r="Q47" i="1"/>
  <c r="R47" i="1" s="1"/>
  <c r="O69" i="1"/>
  <c r="O6" i="1"/>
  <c r="O32" i="1"/>
  <c r="Q32" i="1" s="1"/>
  <c r="R32" i="1" s="1"/>
  <c r="O36" i="1"/>
  <c r="Q36" i="1" s="1"/>
  <c r="R36" i="1" s="1"/>
  <c r="M36" i="1"/>
  <c r="M7" i="1"/>
  <c r="M66" i="1" s="1"/>
  <c r="O66" i="1" s="1"/>
  <c r="Q44" i="1"/>
  <c r="R44" i="1" s="1"/>
  <c r="T44" i="1" s="1"/>
  <c r="S48" i="1"/>
  <c r="Q48" i="1"/>
  <c r="R48" i="1" s="1"/>
  <c r="Q55" i="1"/>
  <c r="R55" i="1" s="1"/>
  <c r="T55" i="1" s="1"/>
  <c r="O7" i="1"/>
  <c r="Q52" i="1"/>
  <c r="R52" i="1" s="1"/>
  <c r="T52" i="1" s="1"/>
  <c r="M37" i="1"/>
  <c r="U37" i="1" s="1"/>
  <c r="O39" i="1"/>
  <c r="Q39" i="1" s="1"/>
  <c r="R39" i="1" s="1"/>
  <c r="M39" i="1"/>
  <c r="S45" i="1"/>
  <c r="Q45" i="1"/>
  <c r="R45" i="1" s="1"/>
  <c r="Q53" i="1"/>
  <c r="R53" i="1" s="1"/>
  <c r="T53" i="1" s="1"/>
  <c r="Q43" i="1"/>
  <c r="R43" i="1" s="1"/>
  <c r="T43" i="1" s="1"/>
  <c r="S59" i="1" l="1"/>
  <c r="O76" i="1" s="1"/>
  <c r="T41" i="1"/>
  <c r="T48" i="1"/>
  <c r="T34" i="1"/>
  <c r="T30" i="1"/>
  <c r="O22" i="1"/>
  <c r="O24" i="1" s="1"/>
  <c r="R24" i="1" s="1"/>
  <c r="S72" i="1"/>
  <c r="U72" i="1" s="1"/>
  <c r="U40" i="1"/>
  <c r="P74" i="1"/>
  <c r="P75" i="1" s="1"/>
  <c r="S58" i="1"/>
  <c r="R58" i="1"/>
  <c r="M67" i="1"/>
  <c r="O67" i="1" s="1"/>
  <c r="U36" i="1"/>
  <c r="T36" i="1"/>
  <c r="U32" i="1"/>
  <c r="T32" i="1"/>
  <c r="O11" i="1"/>
  <c r="U39" i="1"/>
  <c r="T39" i="1"/>
  <c r="U28" i="1"/>
  <c r="T28" i="1"/>
  <c r="S60" i="1" l="1"/>
  <c r="S61" i="1" s="1"/>
  <c r="O23" i="1"/>
  <c r="R23" i="1" s="1"/>
  <c r="Q22" i="1"/>
  <c r="R22" i="1" s="1"/>
  <c r="T22" i="1" s="1"/>
  <c r="O25" i="1"/>
  <c r="Q11" i="1"/>
  <c r="R11" i="1" s="1"/>
  <c r="O13" i="1"/>
  <c r="R13" i="1" s="1"/>
  <c r="O75" i="1" s="1"/>
  <c r="O12" i="1"/>
  <c r="R12" i="1" s="1"/>
  <c r="O73" i="1" s="1"/>
  <c r="O70" i="1"/>
  <c r="O71" i="1" s="1"/>
  <c r="O14" i="1" l="1"/>
  <c r="R59" i="1"/>
  <c r="T11" i="1"/>
  <c r="O77" i="1" l="1"/>
  <c r="O78" i="1" s="1"/>
  <c r="T59" i="1"/>
</calcChain>
</file>

<file path=xl/sharedStrings.xml><?xml version="1.0" encoding="utf-8"?>
<sst xmlns="http://schemas.openxmlformats.org/spreadsheetml/2006/main" count="246" uniqueCount="105">
  <si>
    <t>Top Skin</t>
  </si>
  <si>
    <t>Bottom Skin</t>
  </si>
  <si>
    <t>Core</t>
  </si>
  <si>
    <t>Quote</t>
  </si>
  <si>
    <t>Date</t>
  </si>
  <si>
    <t>Material</t>
  </si>
  <si>
    <t>Type of Panel</t>
  </si>
  <si>
    <t>Color</t>
  </si>
  <si>
    <t>Type of Product</t>
  </si>
  <si>
    <t>Thickness</t>
  </si>
  <si>
    <t>Girth</t>
  </si>
  <si>
    <t>Length</t>
  </si>
  <si>
    <t>Qty</t>
  </si>
  <si>
    <t>Density</t>
  </si>
  <si>
    <t>Weight</t>
  </si>
  <si>
    <t>Total Weight/Ton</t>
  </si>
  <si>
    <t>Cost/Ton</t>
  </si>
  <si>
    <t>Material Cost</t>
  </si>
  <si>
    <t>Quoted Price</t>
  </si>
  <si>
    <t>Value Addition</t>
  </si>
  <si>
    <t>value add total</t>
  </si>
  <si>
    <t>Total Sales</t>
  </si>
  <si>
    <t>% of Value add</t>
  </si>
  <si>
    <t>MAHFAR TRADING</t>
  </si>
  <si>
    <t>PPAL</t>
  </si>
  <si>
    <t>Delivery : BAHRAIN</t>
  </si>
  <si>
    <t>PIR</t>
  </si>
  <si>
    <t>Sales : DULKIFIL</t>
  </si>
  <si>
    <t>`</t>
  </si>
  <si>
    <t>D-Cost</t>
  </si>
  <si>
    <t>Labour</t>
  </si>
  <si>
    <t>Cost</t>
  </si>
  <si>
    <t>Over head</t>
  </si>
  <si>
    <t>Lc</t>
  </si>
  <si>
    <t>Total Cost</t>
  </si>
  <si>
    <t>Cost / Ton</t>
  </si>
  <si>
    <t>SS</t>
  </si>
  <si>
    <t xml:space="preserve">RIDGE </t>
  </si>
  <si>
    <t xml:space="preserve">PROFILE SHEET </t>
  </si>
  <si>
    <t>TRADING</t>
  </si>
  <si>
    <t>FLASHING (G-100)</t>
  </si>
  <si>
    <t>FLASHING (G-300)</t>
  </si>
  <si>
    <t>FLASHING (G-600)</t>
  </si>
  <si>
    <t>FLASHING (G-800)</t>
  </si>
  <si>
    <t>PARAPET GUTTER</t>
  </si>
  <si>
    <t>PLAIN SHEET</t>
  </si>
  <si>
    <t>PPGI</t>
  </si>
  <si>
    <t>FLASHING (G-200)</t>
  </si>
  <si>
    <t>GI</t>
  </si>
  <si>
    <t>MILL</t>
  </si>
  <si>
    <t>PARAPET GUTTER SUPPORT</t>
  </si>
  <si>
    <t>PARAPET GUTTER SLEEVE</t>
  </si>
  <si>
    <t xml:space="preserve"> GUTTER END CAPS</t>
  </si>
  <si>
    <t>GRP PIPE 100DIA</t>
  </si>
  <si>
    <t>OUTLET</t>
  </si>
  <si>
    <t>BEND</t>
  </si>
  <si>
    <t>DOWN PIPE STRAP</t>
  </si>
  <si>
    <t>SELF DRILLING SCREW-SS</t>
  </si>
  <si>
    <t>6.3*150mm (SS410)</t>
  </si>
  <si>
    <t>SELF DRILLING SCREW-GI</t>
  </si>
  <si>
    <t>6.3*25mm</t>
  </si>
  <si>
    <t>SCREW CAPS</t>
  </si>
  <si>
    <t>RAL-9002</t>
  </si>
  <si>
    <t>SITCH SCREW</t>
  </si>
  <si>
    <t>4.8*20mm</t>
  </si>
  <si>
    <t>POP REVITS</t>
  </si>
  <si>
    <t>4.8*12mm</t>
  </si>
  <si>
    <t>ROPE SEAL TAPE-( 1 ROLL )</t>
  </si>
  <si>
    <t>9.5mm*2.4mm*19mtrs</t>
  </si>
  <si>
    <t>SAUDAN SILICON CLEAR</t>
  </si>
  <si>
    <t>FORM CLOUSRES</t>
  </si>
  <si>
    <t>32/250 PROFILE</t>
  </si>
  <si>
    <t>FIBERGLASS LOOSE INSULATION 50MM</t>
  </si>
  <si>
    <t>DENSITY 12KG/M3 (20MTR ROLL)</t>
  </si>
  <si>
    <t>SERVICE</t>
  </si>
  <si>
    <t>TRANSPORT CHARGES</t>
  </si>
  <si>
    <t>SAMAIL TO BAHRAIN</t>
  </si>
  <si>
    <t xml:space="preserve">Trading </t>
  </si>
  <si>
    <t>Vat</t>
  </si>
  <si>
    <t>Total</t>
  </si>
  <si>
    <t>Wt of AL TOP</t>
  </si>
  <si>
    <t>Wt of AL Bottom</t>
  </si>
  <si>
    <t>PANEL :</t>
  </si>
  <si>
    <t>Wt of PPGI</t>
  </si>
  <si>
    <t>RIDGE :</t>
  </si>
  <si>
    <t>Wt GI</t>
  </si>
  <si>
    <t>PROFILE SHEET :</t>
  </si>
  <si>
    <t>Wt of Insulation</t>
  </si>
  <si>
    <t>SKY LIGHT :</t>
  </si>
  <si>
    <t>Trading</t>
  </si>
  <si>
    <t>FL &amp; ACC.  :</t>
  </si>
  <si>
    <t>Total Mat</t>
  </si>
  <si>
    <t>TRANSPORT :</t>
  </si>
  <si>
    <t>Total Labour</t>
  </si>
  <si>
    <t>TOTAL :</t>
  </si>
  <si>
    <t>Total Over head</t>
  </si>
  <si>
    <t>Transport</t>
  </si>
  <si>
    <t>OMR Per Trip</t>
  </si>
  <si>
    <t>LC</t>
  </si>
  <si>
    <t>TRANSPORT</t>
  </si>
  <si>
    <t>Sales</t>
  </si>
  <si>
    <t>Value Add</t>
  </si>
  <si>
    <t>Value Add %</t>
  </si>
  <si>
    <t>ROOF</t>
  </si>
  <si>
    <t>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</si>
</sst>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_(* #,##0.00_);_(* \(#,##0.00\);_(* &quot;-&quot;??_);_(@_)"/>
    <numFmt numFmtId="166" formatCode="_(* #,##0.000_);_(* \(#,##0.000\);_(* &quot;-&quot;??_);_(@_)"/>
    <numFmt numFmtId="167" formatCode="0.0"/>
    <numFmt numFmtId="168" formatCode="_(* #,##0.000_);_(* \(#,##0.000\);_(* &quot;-&quot;???_);_(@_)"/>
    <numFmt numFmtId="169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sz val="16"/>
      <name val="Calibri"/>
      <family val="2"/>
    </font>
    <font>
      <sz val="16"/>
      <color rgb="FFCC0000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b/>
      <sz val="16"/>
      <color rgb="FFCC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color rgb="FF7030A0"/>
      <name val="Aptos Narrow"/>
      <family val="2"/>
      <scheme val="minor"/>
    </font>
    <font>
      <sz val="16"/>
      <color theme="1"/>
      <name val="Calibri"/>
      <family val="2"/>
    </font>
    <font>
      <b/>
      <sz val="16"/>
      <color rgb="FF7030A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00B05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64" fontId="7" fillId="0" borderId="1" xfId="0" applyNumberFormat="1" applyFont="1" applyBorder="1"/>
    <xf numFmtId="164" fontId="3" fillId="0" borderId="1" xfId="0" applyNumberFormat="1" applyFont="1" applyBorder="1"/>
    <xf numFmtId="0" fontId="8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/>
    <xf numFmtId="164" fontId="10" fillId="0" borderId="1" xfId="0" applyNumberFormat="1" applyFont="1" applyBorder="1"/>
    <xf numFmtId="0" fontId="4" fillId="0" borderId="1" xfId="0" applyFont="1" applyBorder="1" applyAlignment="1">
      <alignment horizontal="center"/>
    </xf>
    <xf numFmtId="165" fontId="3" fillId="0" borderId="1" xfId="1" applyFont="1" applyBorder="1"/>
    <xf numFmtId="164" fontId="11" fillId="0" borderId="1" xfId="0" applyNumberFormat="1" applyFont="1" applyBorder="1"/>
    <xf numFmtId="164" fontId="12" fillId="0" borderId="1" xfId="0" applyNumberFormat="1" applyFont="1" applyBorder="1"/>
    <xf numFmtId="2" fontId="3" fillId="0" borderId="1" xfId="0" applyNumberFormat="1" applyFont="1" applyBorder="1"/>
    <xf numFmtId="167" fontId="3" fillId="0" borderId="1" xfId="0" applyNumberFormat="1" applyFont="1" applyBorder="1"/>
    <xf numFmtId="165" fontId="0" fillId="0" borderId="0" xfId="0" applyNumberFormat="1"/>
    <xf numFmtId="0" fontId="3" fillId="4" borderId="1" xfId="0" applyFont="1" applyFill="1" applyBorder="1"/>
    <xf numFmtId="0" fontId="6" fillId="4" borderId="1" xfId="0" applyFont="1" applyFill="1" applyBorder="1" applyAlignment="1">
      <alignment horizontal="left"/>
    </xf>
    <xf numFmtId="164" fontId="7" fillId="4" borderId="1" xfId="0" applyNumberFormat="1" applyFont="1" applyFill="1" applyBorder="1"/>
    <xf numFmtId="164" fontId="3" fillId="4" borderId="1" xfId="0" applyNumberFormat="1" applyFont="1" applyFill="1" applyBorder="1"/>
    <xf numFmtId="167" fontId="3" fillId="4" borderId="1" xfId="0" applyNumberFormat="1" applyFont="1" applyFill="1" applyBorder="1"/>
    <xf numFmtId="2" fontId="3" fillId="4" borderId="1" xfId="0" applyNumberFormat="1" applyFont="1" applyFill="1" applyBorder="1"/>
    <xf numFmtId="0" fontId="0" fillId="4" borderId="0" xfId="0" applyFill="1"/>
    <xf numFmtId="165" fontId="0" fillId="4" borderId="0" xfId="0" applyNumberFormat="1" applyFill="1"/>
    <xf numFmtId="0" fontId="13" fillId="4" borderId="1" xfId="0" applyFont="1" applyFill="1" applyBorder="1" applyAlignment="1">
      <alignment horizontal="left"/>
    </xf>
    <xf numFmtId="0" fontId="4" fillId="4" borderId="1" xfId="0" applyFont="1" applyFill="1" applyBorder="1"/>
    <xf numFmtId="164" fontId="3" fillId="5" borderId="1" xfId="0" applyNumberFormat="1" applyFont="1" applyFill="1" applyBorder="1"/>
    <xf numFmtId="0" fontId="3" fillId="0" borderId="2" xfId="0" applyFont="1" applyBorder="1"/>
    <xf numFmtId="0" fontId="4" fillId="0" borderId="2" xfId="0" applyFont="1" applyBorder="1"/>
    <xf numFmtId="164" fontId="7" fillId="0" borderId="2" xfId="0" applyNumberFormat="1" applyFont="1" applyBorder="1"/>
    <xf numFmtId="164" fontId="3" fillId="0" borderId="2" xfId="0" applyNumberFormat="1" applyFont="1" applyBorder="1"/>
    <xf numFmtId="164" fontId="3" fillId="5" borderId="2" xfId="0" applyNumberFormat="1" applyFont="1" applyFill="1" applyBorder="1"/>
    <xf numFmtId="0" fontId="6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164" fontId="3" fillId="0" borderId="0" xfId="0" applyNumberFormat="1" applyFont="1"/>
    <xf numFmtId="166" fontId="9" fillId="0" borderId="0" xfId="1" applyNumberFormat="1" applyFont="1" applyFill="1" applyBorder="1"/>
    <xf numFmtId="164" fontId="3" fillId="0" borderId="0" xfId="0" applyNumberFormat="1" applyFont="1" applyAlignment="1">
      <alignment horizontal="center"/>
    </xf>
    <xf numFmtId="167" fontId="3" fillId="0" borderId="2" xfId="0" applyNumberFormat="1" applyFont="1" applyBorder="1"/>
    <xf numFmtId="2" fontId="3" fillId="0" borderId="0" xfId="0" applyNumberFormat="1" applyFont="1"/>
    <xf numFmtId="0" fontId="2" fillId="0" borderId="0" xfId="0" applyFont="1"/>
    <xf numFmtId="166" fontId="14" fillId="0" borderId="1" xfId="1" applyNumberFormat="1" applyFont="1" applyBorder="1"/>
    <xf numFmtId="168" fontId="0" fillId="0" borderId="0" xfId="0" applyNumberFormat="1"/>
    <xf numFmtId="166" fontId="0" fillId="0" borderId="0" xfId="1" applyNumberFormat="1" applyFont="1"/>
    <xf numFmtId="165" fontId="15" fillId="0" borderId="1" xfId="1" applyFont="1" applyBorder="1" applyAlignment="1">
      <alignment horizontal="right" indent="1"/>
    </xf>
    <xf numFmtId="166" fontId="15" fillId="0" borderId="1" xfId="1" applyNumberFormat="1" applyFont="1" applyBorder="1" applyAlignment="1">
      <alignment horizontal="right" indent="1"/>
    </xf>
    <xf numFmtId="165" fontId="15" fillId="2" borderId="1" xfId="1" applyFont="1" applyFill="1" applyBorder="1" applyAlignment="1">
      <alignment horizontal="right" indent="1"/>
    </xf>
    <xf numFmtId="166" fontId="15" fillId="2" borderId="1" xfId="1" applyNumberFormat="1" applyFont="1" applyFill="1" applyBorder="1" applyAlignment="1">
      <alignment horizontal="right" indent="1"/>
    </xf>
    <xf numFmtId="164" fontId="0" fillId="0" borderId="0" xfId="0" applyNumberFormat="1"/>
    <xf numFmtId="169" fontId="15" fillId="0" borderId="0" xfId="1" applyNumberFormat="1" applyFont="1"/>
    <xf numFmtId="0" fontId="15" fillId="0" borderId="0" xfId="0" applyFont="1"/>
    <xf numFmtId="164" fontId="4" fillId="0" borderId="1" xfId="0" applyNumberFormat="1" applyFont="1" applyBorder="1"/>
    <xf numFmtId="164" fontId="16" fillId="0" borderId="1" xfId="0" applyNumberFormat="1" applyFont="1" applyBorder="1"/>
    <xf numFmtId="0" fontId="3" fillId="6" borderId="1" xfId="0" applyFont="1" applyFill="1" applyBorder="1"/>
    <xf numFmtId="0" fontId="4" fillId="6" borderId="1" xfId="0" applyFont="1" applyFill="1" applyBorder="1"/>
    <xf numFmtId="164" fontId="3" fillId="6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66" fontId="9" fillId="6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167366</xdr:rowOff>
    </xdr:from>
    <xdr:to>
      <xdr:col>5</xdr:col>
      <xdr:colOff>367393</xdr:colOff>
      <xdr:row>97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9B123-F9CD-47D1-80EF-BC7D0FF26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26616"/>
          <a:ext cx="6300107" cy="9017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8CD0-6E02-45F8-A88B-C65080B0D6F5}">
  <dimension ref="A1:X78"/>
  <sheetViews>
    <sheetView tabSelected="1" zoomScale="70" zoomScaleNormal="70" workbookViewId="0">
      <selection activeCell="L45" sqref="L45"/>
    </sheetView>
  </sheetViews>
  <sheetFormatPr defaultRowHeight="15" x14ac:dyDescent="0.25"/>
  <cols>
    <col min="1" max="1" width="33.42578125" bestFit="1" customWidth="1"/>
    <col min="2" max="2" width="17.28515625" style="1" customWidth="1"/>
    <col min="3" max="3" width="17.85546875" bestFit="1" customWidth="1"/>
    <col min="4" max="4" width="11" customWidth="1"/>
    <col min="6" max="6" width="50.85546875" bestFit="1" customWidth="1"/>
    <col min="7" max="7" width="20.28515625" customWidth="1"/>
    <col min="9" max="9" width="13" customWidth="1"/>
    <col min="10" max="10" width="16.7109375" customWidth="1"/>
    <col min="11" max="11" width="11.85546875" bestFit="1" customWidth="1"/>
    <col min="12" max="12" width="25.42578125" bestFit="1" customWidth="1"/>
    <col min="13" max="13" width="18.42578125" bestFit="1" customWidth="1"/>
    <col min="14" max="14" width="14.85546875" bestFit="1" customWidth="1"/>
    <col min="15" max="15" width="18.42578125" bestFit="1" customWidth="1"/>
    <col min="16" max="16" width="13.42578125" bestFit="1" customWidth="1"/>
    <col min="17" max="17" width="15.5703125" bestFit="1" customWidth="1"/>
    <col min="18" max="18" width="23.140625" bestFit="1" customWidth="1"/>
    <col min="19" max="19" width="19.140625" bestFit="1" customWidth="1"/>
    <col min="20" max="20" width="10.42578125" bestFit="1" customWidth="1"/>
    <col min="21" max="21" width="16.42578125" customWidth="1"/>
    <col min="23" max="23" width="12.42578125" bestFit="1" customWidth="1"/>
    <col min="25" max="25" width="10.140625" bestFit="1" customWidth="1"/>
  </cols>
  <sheetData>
    <row r="1" spans="1:20" ht="21" x14ac:dyDescent="0.35">
      <c r="F1" s="2" t="s">
        <v>0</v>
      </c>
      <c r="N1" s="3">
        <v>1400</v>
      </c>
    </row>
    <row r="2" spans="1:20" ht="21" x14ac:dyDescent="0.35">
      <c r="F2" s="2" t="s">
        <v>1</v>
      </c>
      <c r="N2" s="3">
        <v>400</v>
      </c>
    </row>
    <row r="3" spans="1:20" ht="21" x14ac:dyDescent="0.35">
      <c r="F3" s="2" t="s">
        <v>2</v>
      </c>
      <c r="N3" s="3">
        <v>900</v>
      </c>
    </row>
    <row r="5" spans="1:20" ht="6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</row>
    <row r="6" spans="1:20" ht="21" x14ac:dyDescent="0.35">
      <c r="A6" s="5" t="s">
        <v>23</v>
      </c>
      <c r="B6" s="6">
        <v>45960</v>
      </c>
      <c r="C6" s="22" t="s">
        <v>24</v>
      </c>
      <c r="D6" s="2" t="s">
        <v>103</v>
      </c>
      <c r="E6" s="2">
        <v>9002</v>
      </c>
      <c r="F6" s="2" t="s">
        <v>0</v>
      </c>
      <c r="G6" s="61">
        <v>0.5</v>
      </c>
      <c r="H6" s="62">
        <v>1220</v>
      </c>
      <c r="I6" s="2">
        <v>1000</v>
      </c>
      <c r="J6" s="62">
        <v>1000</v>
      </c>
      <c r="K6" s="61">
        <v>2720</v>
      </c>
      <c r="L6" s="8">
        <f>G6*H6/1000*I6/1000*K6/1000</f>
        <v>1.6592</v>
      </c>
      <c r="M6" s="9">
        <f>L6*J6/1000</f>
        <v>1.6592</v>
      </c>
      <c r="N6" s="62">
        <v>1400</v>
      </c>
      <c r="O6" s="9">
        <f>N6/1000*L6</f>
        <v>2.3228800000000001</v>
      </c>
      <c r="P6" s="10">
        <v>7.7</v>
      </c>
      <c r="Q6" s="2"/>
      <c r="R6" s="2"/>
      <c r="S6" s="2"/>
      <c r="T6" s="2"/>
    </row>
    <row r="7" spans="1:20" ht="21" x14ac:dyDescent="0.35">
      <c r="A7" s="11"/>
      <c r="B7" s="12"/>
      <c r="C7" s="22" t="s">
        <v>24</v>
      </c>
      <c r="D7" s="2"/>
      <c r="E7" s="2">
        <v>9002</v>
      </c>
      <c r="F7" s="2" t="s">
        <v>1</v>
      </c>
      <c r="G7" s="61">
        <v>0.5</v>
      </c>
      <c r="H7" s="62">
        <v>1080</v>
      </c>
      <c r="I7" s="2">
        <v>1000</v>
      </c>
      <c r="J7" s="62">
        <f>J6</f>
        <v>1000</v>
      </c>
      <c r="K7" s="61">
        <v>2720</v>
      </c>
      <c r="L7" s="8">
        <f>G7*H7/1000*I7/1000*K7/1000</f>
        <v>1.4688000000000001</v>
      </c>
      <c r="M7" s="9">
        <f>L7*J7/1000</f>
        <v>1.4688000000000001</v>
      </c>
      <c r="N7" s="62">
        <v>1400</v>
      </c>
      <c r="O7" s="9">
        <f>N7/1000*L7</f>
        <v>2.0563199999999999</v>
      </c>
      <c r="P7" s="13"/>
      <c r="Q7" s="13"/>
      <c r="R7" s="2"/>
      <c r="S7" s="2"/>
      <c r="T7" s="2"/>
    </row>
    <row r="8" spans="1:20" ht="21" x14ac:dyDescent="0.35">
      <c r="A8" s="7" t="s">
        <v>25</v>
      </c>
      <c r="B8" s="12"/>
      <c r="C8" s="22" t="s">
        <v>26</v>
      </c>
      <c r="D8" s="2"/>
      <c r="E8" s="2"/>
      <c r="F8" s="2" t="s">
        <v>2</v>
      </c>
      <c r="G8" s="61">
        <v>50</v>
      </c>
      <c r="H8" s="2">
        <v>1000</v>
      </c>
      <c r="I8" s="2">
        <v>1000</v>
      </c>
      <c r="J8" s="62">
        <f>J6</f>
        <v>1000</v>
      </c>
      <c r="K8" s="61">
        <v>40</v>
      </c>
      <c r="L8" s="8">
        <f>G8/1000*H8/1000*I8/1000*K8+0.215</f>
        <v>2.2149999999999999</v>
      </c>
      <c r="M8" s="9">
        <f>L8*J8/1000</f>
        <v>2.2149999999999999</v>
      </c>
      <c r="N8" s="62">
        <v>900</v>
      </c>
      <c r="O8" s="9">
        <f>N8/1000*L8</f>
        <v>1.9934999999999998</v>
      </c>
      <c r="P8" s="2"/>
      <c r="Q8" s="2"/>
      <c r="R8" s="2"/>
      <c r="S8" s="2"/>
      <c r="T8" s="2"/>
    </row>
    <row r="9" spans="1:20" ht="21" x14ac:dyDescent="0.35">
      <c r="A9" s="7" t="s">
        <v>27</v>
      </c>
      <c r="B9" s="12" t="s">
        <v>28</v>
      </c>
      <c r="C9" s="2"/>
      <c r="D9" s="2"/>
      <c r="E9" s="2"/>
      <c r="F9" s="2"/>
      <c r="G9" s="2"/>
      <c r="H9" s="2"/>
      <c r="I9" s="2"/>
      <c r="J9" s="2"/>
      <c r="K9" s="2"/>
      <c r="L9" s="14">
        <f>SUM(L6:L8)</f>
        <v>5.343</v>
      </c>
      <c r="M9" s="9"/>
      <c r="N9" s="2" t="s">
        <v>29</v>
      </c>
      <c r="O9" s="63">
        <v>0.1</v>
      </c>
      <c r="P9" s="2"/>
      <c r="Q9" s="2"/>
      <c r="R9" s="2">
        <f>O9*J6</f>
        <v>100</v>
      </c>
      <c r="S9" s="2"/>
      <c r="T9" s="2"/>
    </row>
    <row r="10" spans="1:20" ht="21" x14ac:dyDescent="0.35">
      <c r="A10" s="15"/>
      <c r="B10" s="12"/>
      <c r="C10" s="2"/>
      <c r="D10" s="2"/>
      <c r="E10" s="2"/>
      <c r="G10" s="2"/>
      <c r="H10" s="2"/>
      <c r="I10" s="2"/>
      <c r="J10" s="9">
        <f>+J8/600</f>
        <v>1.6666666666666667</v>
      </c>
      <c r="K10" s="9">
        <f>+ROUNDUP(J10,0)</f>
        <v>2</v>
      </c>
      <c r="L10" s="8"/>
      <c r="M10" s="9"/>
      <c r="N10" s="2" t="s">
        <v>30</v>
      </c>
      <c r="O10" s="63">
        <v>0.2</v>
      </c>
      <c r="P10" s="2"/>
      <c r="Q10" s="2"/>
      <c r="R10" s="2">
        <f>O10*J6</f>
        <v>200</v>
      </c>
      <c r="S10" s="2"/>
      <c r="T10" s="2"/>
    </row>
    <row r="11" spans="1:20" ht="21" x14ac:dyDescent="0.35">
      <c r="A11" s="2"/>
      <c r="B11" s="12"/>
      <c r="C11" s="2"/>
      <c r="D11" s="2"/>
      <c r="E11" s="2"/>
      <c r="F11" s="2"/>
      <c r="G11" s="2"/>
      <c r="H11" s="2"/>
      <c r="I11" s="2"/>
      <c r="J11" s="16"/>
      <c r="K11" s="2"/>
      <c r="L11" s="2"/>
      <c r="M11" s="2"/>
      <c r="N11" s="2" t="s">
        <v>31</v>
      </c>
      <c r="O11" s="17">
        <f>SUM(O6:O10)</f>
        <v>6.6726999999999999</v>
      </c>
      <c r="P11" s="2"/>
      <c r="Q11" s="9">
        <f>P6-O11</f>
        <v>1.0273000000000003</v>
      </c>
      <c r="R11" s="18">
        <f>Q11*J6</f>
        <v>1027.3000000000004</v>
      </c>
      <c r="S11" s="2">
        <f>P6*J6</f>
        <v>7700</v>
      </c>
      <c r="T11" s="19">
        <f>R11/S11%</f>
        <v>13.341558441558448</v>
      </c>
    </row>
    <row r="12" spans="1:20" ht="21" x14ac:dyDescent="0.35">
      <c r="A12" s="2"/>
      <c r="B12" s="12"/>
      <c r="C12" s="2"/>
      <c r="D12" s="2"/>
      <c r="E12" s="2"/>
      <c r="F12" s="2"/>
      <c r="G12" s="2"/>
      <c r="H12" s="2"/>
      <c r="I12" s="2"/>
      <c r="J12" s="11"/>
      <c r="K12" s="2"/>
      <c r="L12" s="2"/>
      <c r="M12" s="2"/>
      <c r="N12" s="2" t="s">
        <v>32</v>
      </c>
      <c r="O12" s="63">
        <f>P12*O11</f>
        <v>0.66727000000000003</v>
      </c>
      <c r="P12" s="61">
        <v>0.1</v>
      </c>
      <c r="Q12" s="2"/>
      <c r="R12" s="9">
        <f>O12*J6</f>
        <v>667.27</v>
      </c>
      <c r="S12" s="2"/>
      <c r="T12" s="2"/>
    </row>
    <row r="13" spans="1:20" ht="21" x14ac:dyDescent="0.35">
      <c r="A13" s="2"/>
      <c r="B13" s="12"/>
      <c r="C13" s="2"/>
      <c r="D13" s="2"/>
      <c r="E13" s="2"/>
      <c r="F13" s="2"/>
      <c r="G13" s="2"/>
      <c r="H13" s="11"/>
      <c r="I13" s="2"/>
      <c r="J13" s="2"/>
      <c r="K13" s="2"/>
      <c r="L13" s="2"/>
      <c r="M13" s="2"/>
      <c r="N13" s="2" t="s">
        <v>33</v>
      </c>
      <c r="O13" s="63">
        <f>O11*0.05</f>
        <v>0.33363500000000001</v>
      </c>
      <c r="P13" s="2"/>
      <c r="Q13" s="2"/>
      <c r="R13" s="9">
        <f>O13*J6</f>
        <v>333.63499999999999</v>
      </c>
      <c r="S13" s="2"/>
      <c r="T13" s="2"/>
    </row>
    <row r="14" spans="1:20" ht="21" x14ac:dyDescent="0.35">
      <c r="A14" s="2"/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">
        <v>34</v>
      </c>
      <c r="O14" s="17">
        <f>SUM(O11:O13)</f>
        <v>7.6736050000000002</v>
      </c>
      <c r="P14" s="2"/>
      <c r="Q14" s="2"/>
      <c r="R14" s="2"/>
      <c r="S14" s="2"/>
      <c r="T14" s="2"/>
    </row>
    <row r="16" spans="1:20" ht="63" x14ac:dyDescent="0.25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  <c r="I16" s="4" t="s">
        <v>11</v>
      </c>
      <c r="J16" s="4" t="s">
        <v>12</v>
      </c>
      <c r="K16" s="4" t="s">
        <v>13</v>
      </c>
      <c r="L16" s="4" t="s">
        <v>14</v>
      </c>
      <c r="M16" s="4" t="s">
        <v>15</v>
      </c>
      <c r="N16" s="4" t="s">
        <v>16</v>
      </c>
      <c r="O16" s="4" t="s">
        <v>17</v>
      </c>
      <c r="P16" s="4" t="s">
        <v>18</v>
      </c>
      <c r="Q16" s="4" t="s">
        <v>19</v>
      </c>
      <c r="R16" s="4" t="s">
        <v>20</v>
      </c>
      <c r="S16" s="4" t="s">
        <v>21</v>
      </c>
      <c r="T16" s="4" t="s">
        <v>22</v>
      </c>
    </row>
    <row r="17" spans="1:24" ht="21" x14ac:dyDescent="0.35">
      <c r="A17" s="5" t="s">
        <v>23</v>
      </c>
      <c r="B17" s="6">
        <v>45960</v>
      </c>
      <c r="C17" s="2" t="s">
        <v>46</v>
      </c>
      <c r="D17" s="2" t="s">
        <v>104</v>
      </c>
      <c r="E17" s="2">
        <v>9002</v>
      </c>
      <c r="F17" s="2" t="s">
        <v>0</v>
      </c>
      <c r="G17" s="61">
        <v>0.5</v>
      </c>
      <c r="H17" s="62">
        <v>1080</v>
      </c>
      <c r="I17" s="2">
        <v>1000</v>
      </c>
      <c r="J17" s="62">
        <v>1000</v>
      </c>
      <c r="K17" s="61">
        <v>7850</v>
      </c>
      <c r="L17" s="8">
        <f>G17*H17/1000*I17/1000*K17/1000</f>
        <v>4.2389999999999999</v>
      </c>
      <c r="M17" s="9">
        <f>L17*J17/1000</f>
        <v>4.2389999999999999</v>
      </c>
      <c r="N17" s="62">
        <v>400</v>
      </c>
      <c r="O17" s="9">
        <f>N17/1000*L17</f>
        <v>1.6956</v>
      </c>
      <c r="P17" s="10">
        <v>6.6</v>
      </c>
      <c r="Q17" s="2"/>
      <c r="R17" s="2"/>
      <c r="S17" s="2"/>
      <c r="T17" s="2"/>
    </row>
    <row r="18" spans="1:24" ht="21" x14ac:dyDescent="0.35">
      <c r="A18" s="11"/>
      <c r="B18" s="12"/>
      <c r="C18" s="2" t="s">
        <v>46</v>
      </c>
      <c r="D18" s="2"/>
      <c r="E18" s="2">
        <v>9002</v>
      </c>
      <c r="F18" s="2" t="s">
        <v>1</v>
      </c>
      <c r="G18" s="61">
        <v>0.5</v>
      </c>
      <c r="H18" s="62">
        <v>1080</v>
      </c>
      <c r="I18" s="2">
        <v>1000</v>
      </c>
      <c r="J18" s="62">
        <f>J17</f>
        <v>1000</v>
      </c>
      <c r="K18" s="61">
        <v>7850</v>
      </c>
      <c r="L18" s="8">
        <f>G18*H18/1000*I18/1000*K18/1000</f>
        <v>4.2389999999999999</v>
      </c>
      <c r="M18" s="9">
        <f>L18*J18/1000</f>
        <v>4.2389999999999999</v>
      </c>
      <c r="N18" s="62">
        <v>400</v>
      </c>
      <c r="O18" s="9">
        <f>N18/1000*L18</f>
        <v>1.6956</v>
      </c>
      <c r="P18" s="13"/>
      <c r="Q18" s="13"/>
      <c r="R18" s="2"/>
      <c r="S18" s="2"/>
      <c r="T18" s="2"/>
    </row>
    <row r="19" spans="1:24" ht="21" x14ac:dyDescent="0.35">
      <c r="A19" s="7" t="s">
        <v>25</v>
      </c>
      <c r="B19" s="12"/>
      <c r="C19" s="2" t="s">
        <v>26</v>
      </c>
      <c r="D19" s="2"/>
      <c r="E19" s="2"/>
      <c r="F19" s="2" t="s">
        <v>2</v>
      </c>
      <c r="G19" s="61">
        <v>50</v>
      </c>
      <c r="H19" s="2">
        <v>1000</v>
      </c>
      <c r="I19" s="2">
        <v>1000</v>
      </c>
      <c r="J19" s="62">
        <f>J17</f>
        <v>1000</v>
      </c>
      <c r="K19" s="61">
        <v>40</v>
      </c>
      <c r="L19" s="8">
        <f>G19/1000*H19/1000*I19/1000*K19+0.215</f>
        <v>2.2149999999999999</v>
      </c>
      <c r="M19" s="9">
        <f>L19*J19/1000</f>
        <v>2.2149999999999999</v>
      </c>
      <c r="N19" s="62">
        <v>900</v>
      </c>
      <c r="O19" s="9">
        <f>N19/1000*L19</f>
        <v>1.9934999999999998</v>
      </c>
      <c r="P19" s="2"/>
      <c r="Q19" s="2"/>
      <c r="R19" s="2"/>
      <c r="S19" s="2"/>
      <c r="T19" s="2"/>
    </row>
    <row r="20" spans="1:24" ht="21" x14ac:dyDescent="0.35">
      <c r="A20" s="7" t="s">
        <v>27</v>
      </c>
      <c r="B20" s="12" t="s">
        <v>28</v>
      </c>
      <c r="C20" s="2"/>
      <c r="D20" s="2"/>
      <c r="E20" s="2"/>
      <c r="F20" s="2"/>
      <c r="G20" s="2"/>
      <c r="H20" s="2"/>
      <c r="I20" s="2"/>
      <c r="J20" s="2"/>
      <c r="K20" s="2"/>
      <c r="L20" s="14">
        <f>SUM(L17:L19)</f>
        <v>10.693</v>
      </c>
      <c r="M20" s="9"/>
      <c r="N20" s="2" t="s">
        <v>29</v>
      </c>
      <c r="O20" s="63">
        <v>0.1</v>
      </c>
      <c r="P20" s="2"/>
      <c r="Q20" s="2"/>
      <c r="R20" s="2">
        <f>O20*J17</f>
        <v>100</v>
      </c>
      <c r="S20" s="2"/>
      <c r="T20" s="2"/>
    </row>
    <row r="21" spans="1:24" ht="21" x14ac:dyDescent="0.35">
      <c r="A21" s="15"/>
      <c r="B21" s="12"/>
      <c r="C21" s="2"/>
      <c r="D21" s="2"/>
      <c r="E21" s="2"/>
      <c r="G21" s="2"/>
      <c r="H21" s="2"/>
      <c r="I21" s="2"/>
      <c r="J21" s="9">
        <f>+J19/600</f>
        <v>1.6666666666666667</v>
      </c>
      <c r="K21" s="9">
        <f>+ROUNDUP(J21,0)</f>
        <v>2</v>
      </c>
      <c r="L21" s="8"/>
      <c r="M21" s="9"/>
      <c r="N21" s="2" t="s">
        <v>30</v>
      </c>
      <c r="O21" s="63">
        <v>0.2</v>
      </c>
      <c r="P21" s="2"/>
      <c r="Q21" s="2"/>
      <c r="R21" s="2">
        <f>O21*J17</f>
        <v>200</v>
      </c>
      <c r="S21" s="2"/>
      <c r="T21" s="2"/>
    </row>
    <row r="22" spans="1:24" ht="21" x14ac:dyDescent="0.35">
      <c r="A22" s="2"/>
      <c r="B22" s="12"/>
      <c r="C22" s="2"/>
      <c r="D22" s="2"/>
      <c r="E22" s="2"/>
      <c r="F22" s="2"/>
      <c r="G22" s="2"/>
      <c r="H22" s="2"/>
      <c r="I22" s="2"/>
      <c r="J22" s="16"/>
      <c r="K22" s="2"/>
      <c r="L22" s="2"/>
      <c r="M22" s="2"/>
      <c r="N22" s="2" t="s">
        <v>31</v>
      </c>
      <c r="O22" s="17">
        <f>SUM(O17:O21)</f>
        <v>5.6846999999999994</v>
      </c>
      <c r="P22" s="2"/>
      <c r="Q22" s="9">
        <f>P17-O22</f>
        <v>0.91530000000000022</v>
      </c>
      <c r="R22" s="18">
        <f>Q22*J17</f>
        <v>915.30000000000018</v>
      </c>
      <c r="S22" s="2">
        <f>P17*J17</f>
        <v>6600</v>
      </c>
      <c r="T22" s="19">
        <f>R22/S22%</f>
        <v>13.868181818181821</v>
      </c>
    </row>
    <row r="23" spans="1:24" ht="21" x14ac:dyDescent="0.35">
      <c r="A23" s="2"/>
      <c r="B23" s="12"/>
      <c r="C23" s="2"/>
      <c r="D23" s="2"/>
      <c r="E23" s="2"/>
      <c r="F23" s="2"/>
      <c r="G23" s="2"/>
      <c r="H23" s="2"/>
      <c r="I23" s="2"/>
      <c r="J23" s="11"/>
      <c r="K23" s="2"/>
      <c r="L23" s="2"/>
      <c r="M23" s="2"/>
      <c r="N23" s="2" t="s">
        <v>32</v>
      </c>
      <c r="O23" s="63">
        <f>P23*O22</f>
        <v>0.56846999999999992</v>
      </c>
      <c r="P23" s="61">
        <v>0.1</v>
      </c>
      <c r="Q23" s="2"/>
      <c r="R23" s="9">
        <f>O23*J17</f>
        <v>568.46999999999991</v>
      </c>
      <c r="S23" s="2"/>
      <c r="T23" s="2"/>
    </row>
    <row r="24" spans="1:24" ht="21" x14ac:dyDescent="0.35">
      <c r="A24" s="2"/>
      <c r="B24" s="12"/>
      <c r="C24" s="2"/>
      <c r="D24" s="2"/>
      <c r="E24" s="2"/>
      <c r="F24" s="2"/>
      <c r="G24" s="2"/>
      <c r="H24" s="11"/>
      <c r="I24" s="2"/>
      <c r="J24" s="2"/>
      <c r="K24" s="2"/>
      <c r="L24" s="2"/>
      <c r="M24" s="2"/>
      <c r="N24" s="2" t="s">
        <v>33</v>
      </c>
      <c r="O24" s="63">
        <f>O22*0.05</f>
        <v>0.28423499999999996</v>
      </c>
      <c r="P24" s="2"/>
      <c r="Q24" s="2"/>
      <c r="R24" s="9">
        <f>O24*J17</f>
        <v>284.23499999999996</v>
      </c>
      <c r="S24" s="2"/>
      <c r="T24" s="2"/>
    </row>
    <row r="25" spans="1:24" ht="21" x14ac:dyDescent="0.35">
      <c r="A25" s="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 t="s">
        <v>34</v>
      </c>
      <c r="O25" s="17">
        <f>SUM(O22:O24)</f>
        <v>6.5374049999999988</v>
      </c>
      <c r="P25" s="2"/>
      <c r="Q25" s="2"/>
      <c r="R25" s="2"/>
      <c r="S25" s="2"/>
      <c r="T25" s="2"/>
    </row>
    <row r="27" spans="1:24" ht="63" x14ac:dyDescent="0.25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  <c r="G27" s="4" t="s">
        <v>9</v>
      </c>
      <c r="H27" s="4" t="s">
        <v>10</v>
      </c>
      <c r="I27" s="4" t="s">
        <v>11</v>
      </c>
      <c r="J27" s="4" t="s">
        <v>12</v>
      </c>
      <c r="K27" s="4" t="s">
        <v>13</v>
      </c>
      <c r="L27" s="4" t="s">
        <v>14</v>
      </c>
      <c r="M27" s="4" t="s">
        <v>15</v>
      </c>
      <c r="N27" s="4" t="s">
        <v>16</v>
      </c>
      <c r="O27" s="4" t="s">
        <v>17</v>
      </c>
      <c r="P27" s="4" t="s">
        <v>18</v>
      </c>
      <c r="Q27" s="4" t="s">
        <v>19</v>
      </c>
      <c r="R27" s="4" t="s">
        <v>20</v>
      </c>
      <c r="S27" s="4" t="s">
        <v>21</v>
      </c>
      <c r="T27" s="4" t="s">
        <v>22</v>
      </c>
      <c r="U27" s="4" t="s">
        <v>35</v>
      </c>
    </row>
    <row r="28" spans="1:24" ht="21" x14ac:dyDescent="0.35">
      <c r="A28" s="5" t="s">
        <v>23</v>
      </c>
      <c r="B28" s="6">
        <v>45960</v>
      </c>
      <c r="C28" s="2" t="s">
        <v>24</v>
      </c>
      <c r="D28" s="2" t="s">
        <v>36</v>
      </c>
      <c r="E28" s="2">
        <v>9002</v>
      </c>
      <c r="F28" s="2" t="s">
        <v>37</v>
      </c>
      <c r="G28" s="62">
        <v>0.5</v>
      </c>
      <c r="H28" s="61">
        <v>1220</v>
      </c>
      <c r="I28" s="61">
        <v>1000</v>
      </c>
      <c r="J28" s="64">
        <v>162</v>
      </c>
      <c r="K28" s="62">
        <v>2720</v>
      </c>
      <c r="L28" s="8">
        <f t="shared" ref="L28:L29" si="0">G28*H28/1000*I28/1000*K28/1000</f>
        <v>1.6592</v>
      </c>
      <c r="M28" s="9">
        <f t="shared" ref="M28:M29" si="1">L28*J28/1000</f>
        <v>0.26879039999999998</v>
      </c>
      <c r="N28" s="62">
        <f>N$1</f>
        <v>1400</v>
      </c>
      <c r="O28" s="9">
        <f t="shared" ref="O28:O29" si="2">N28/1000*L28+0.1</f>
        <v>2.4228800000000001</v>
      </c>
      <c r="P28" s="68">
        <v>2.8</v>
      </c>
      <c r="Q28" s="9">
        <f t="shared" ref="Q28:Q57" si="3">P28-O28</f>
        <v>0.37711999999999968</v>
      </c>
      <c r="R28" s="18">
        <f t="shared" ref="R28:R57" si="4">Q28*J28</f>
        <v>61.093439999999944</v>
      </c>
      <c r="S28" s="9">
        <f t="shared" ref="S28:S57" si="5">P28*J28</f>
        <v>453.59999999999997</v>
      </c>
      <c r="T28" s="20">
        <f t="shared" ref="T28:T57" si="6">R28/S28%</f>
        <v>13.468571428571417</v>
      </c>
      <c r="U28" s="19">
        <f t="shared" ref="U28:U40" si="7">R28/M28</f>
        <v>227.29026036644146</v>
      </c>
      <c r="X28" s="21"/>
    </row>
    <row r="29" spans="1:24" ht="21" x14ac:dyDescent="0.35">
      <c r="A29" s="5" t="s">
        <v>23</v>
      </c>
      <c r="B29" s="6">
        <v>45960</v>
      </c>
      <c r="C29" s="2" t="s">
        <v>24</v>
      </c>
      <c r="D29" s="2" t="s">
        <v>36</v>
      </c>
      <c r="E29" s="2">
        <v>9002</v>
      </c>
      <c r="F29" s="2" t="s">
        <v>38</v>
      </c>
      <c r="G29" s="62">
        <v>0.5</v>
      </c>
      <c r="H29" s="61">
        <v>1220</v>
      </c>
      <c r="I29" s="61">
        <v>1000</v>
      </c>
      <c r="J29" s="64">
        <v>100</v>
      </c>
      <c r="K29" s="62">
        <v>2720</v>
      </c>
      <c r="L29" s="8">
        <f t="shared" si="0"/>
        <v>1.6592</v>
      </c>
      <c r="M29" s="9">
        <f t="shared" si="1"/>
        <v>0.16591999999999998</v>
      </c>
      <c r="N29" s="62">
        <f>N$1</f>
        <v>1400</v>
      </c>
      <c r="O29" s="9">
        <f t="shared" si="2"/>
        <v>2.4228800000000001</v>
      </c>
      <c r="P29" s="68">
        <v>3.7</v>
      </c>
      <c r="Q29" s="9">
        <f t="shared" si="3"/>
        <v>1.27712</v>
      </c>
      <c r="R29" s="18">
        <f t="shared" si="4"/>
        <v>127.712</v>
      </c>
      <c r="S29" s="9">
        <f t="shared" si="5"/>
        <v>370</v>
      </c>
      <c r="T29" s="20"/>
      <c r="U29" s="19"/>
      <c r="X29" s="21"/>
    </row>
    <row r="30" spans="1:24" ht="21" x14ac:dyDescent="0.35">
      <c r="A30" s="5" t="s">
        <v>23</v>
      </c>
      <c r="B30" s="6">
        <v>45960</v>
      </c>
      <c r="C30" s="2" t="s">
        <v>24</v>
      </c>
      <c r="D30" s="2" t="s">
        <v>36</v>
      </c>
      <c r="E30" s="22">
        <v>9002</v>
      </c>
      <c r="F30" s="2" t="s">
        <v>40</v>
      </c>
      <c r="G30" s="62">
        <v>0.5</v>
      </c>
      <c r="H30" s="61">
        <v>150</v>
      </c>
      <c r="I30" s="61">
        <v>1000</v>
      </c>
      <c r="J30" s="64">
        <v>487.5</v>
      </c>
      <c r="K30" s="62">
        <v>2720</v>
      </c>
      <c r="L30" s="8">
        <f t="shared" ref="L30:L39" si="8">G30*H30/1000*I30/1000*K30/1000</f>
        <v>0.20399999999999999</v>
      </c>
      <c r="M30" s="9">
        <f t="shared" ref="M30:M33" si="9">L30*J30/1000</f>
        <v>9.9449999999999983E-2</v>
      </c>
      <c r="N30" s="62">
        <f t="shared" ref="N30:N35" si="10">N$1</f>
        <v>1400</v>
      </c>
      <c r="O30" s="9">
        <f t="shared" ref="O30:O40" si="11">N30/1000*L30+0.1</f>
        <v>0.38559999999999994</v>
      </c>
      <c r="P30" s="68">
        <v>0.7</v>
      </c>
      <c r="Q30" s="9">
        <f t="shared" si="3"/>
        <v>0.31440000000000001</v>
      </c>
      <c r="R30" s="18">
        <f t="shared" si="4"/>
        <v>153.27000000000001</v>
      </c>
      <c r="S30" s="9">
        <f t="shared" si="5"/>
        <v>341.25</v>
      </c>
      <c r="T30" s="20">
        <f t="shared" si="6"/>
        <v>44.914285714285718</v>
      </c>
      <c r="U30" s="19">
        <f t="shared" si="7"/>
        <v>1541.1764705882356</v>
      </c>
      <c r="X30" s="21"/>
    </row>
    <row r="31" spans="1:24" ht="21" x14ac:dyDescent="0.35">
      <c r="A31" s="5" t="s">
        <v>23</v>
      </c>
      <c r="B31" s="6">
        <v>45960</v>
      </c>
      <c r="C31" s="2" t="s">
        <v>24</v>
      </c>
      <c r="D31" s="2" t="s">
        <v>36</v>
      </c>
      <c r="E31" s="22">
        <v>9002</v>
      </c>
      <c r="F31" s="2" t="s">
        <v>41</v>
      </c>
      <c r="G31" s="62">
        <v>0.5</v>
      </c>
      <c r="H31" s="61">
        <v>350</v>
      </c>
      <c r="I31" s="61">
        <v>1000</v>
      </c>
      <c r="J31" s="64">
        <v>25</v>
      </c>
      <c r="K31" s="62">
        <v>2720</v>
      </c>
      <c r="L31" s="8">
        <f t="shared" si="8"/>
        <v>0.47599999999999992</v>
      </c>
      <c r="M31" s="9">
        <f t="shared" si="9"/>
        <v>1.1899999999999999E-2</v>
      </c>
      <c r="N31" s="62">
        <f t="shared" si="10"/>
        <v>1400</v>
      </c>
      <c r="O31" s="9">
        <f t="shared" si="11"/>
        <v>0.76639999999999986</v>
      </c>
      <c r="P31" s="68">
        <v>1.1000000000000001</v>
      </c>
      <c r="Q31" s="9">
        <f t="shared" si="3"/>
        <v>0.33360000000000023</v>
      </c>
      <c r="R31" s="18">
        <f t="shared" si="4"/>
        <v>8.3400000000000052</v>
      </c>
      <c r="S31" s="9">
        <f t="shared" si="5"/>
        <v>27.500000000000004</v>
      </c>
      <c r="T31" s="20"/>
      <c r="U31" s="19"/>
      <c r="X31" s="21"/>
    </row>
    <row r="32" spans="1:24" ht="21" x14ac:dyDescent="0.35">
      <c r="A32" s="5" t="s">
        <v>23</v>
      </c>
      <c r="B32" s="6">
        <v>45960</v>
      </c>
      <c r="C32" s="2" t="s">
        <v>24</v>
      </c>
      <c r="D32" s="2" t="s">
        <v>36</v>
      </c>
      <c r="E32" s="22">
        <v>9002</v>
      </c>
      <c r="F32" s="2" t="s">
        <v>42</v>
      </c>
      <c r="G32" s="62">
        <v>0.5</v>
      </c>
      <c r="H32" s="61">
        <v>650</v>
      </c>
      <c r="I32" s="61">
        <v>1000</v>
      </c>
      <c r="J32" s="64">
        <v>225</v>
      </c>
      <c r="K32" s="62">
        <v>2720</v>
      </c>
      <c r="L32" s="8">
        <f t="shared" si="8"/>
        <v>0.88400000000000001</v>
      </c>
      <c r="M32" s="9">
        <f t="shared" si="9"/>
        <v>0.19889999999999999</v>
      </c>
      <c r="N32" s="62">
        <f t="shared" si="10"/>
        <v>1400</v>
      </c>
      <c r="O32" s="9">
        <f t="shared" si="11"/>
        <v>1.3376000000000001</v>
      </c>
      <c r="P32" s="68">
        <v>2.1</v>
      </c>
      <c r="Q32" s="9">
        <f t="shared" si="3"/>
        <v>0.76239999999999997</v>
      </c>
      <c r="R32" s="18">
        <f t="shared" si="4"/>
        <v>171.54</v>
      </c>
      <c r="S32" s="9">
        <f t="shared" si="5"/>
        <v>472.5</v>
      </c>
      <c r="T32" s="20">
        <f t="shared" si="6"/>
        <v>36.304761904761904</v>
      </c>
      <c r="U32" s="19">
        <f t="shared" si="7"/>
        <v>862.44343891402718</v>
      </c>
      <c r="X32" s="21"/>
    </row>
    <row r="33" spans="1:24" s="28" customFormat="1" ht="21" x14ac:dyDescent="0.35">
      <c r="A33" s="23" t="s">
        <v>23</v>
      </c>
      <c r="B33" s="6">
        <v>45960</v>
      </c>
      <c r="C33" s="2" t="s">
        <v>24</v>
      </c>
      <c r="D33" s="22" t="s">
        <v>36</v>
      </c>
      <c r="E33" s="22">
        <v>9002</v>
      </c>
      <c r="F33" s="2" t="s">
        <v>43</v>
      </c>
      <c r="G33" s="62">
        <v>0.5</v>
      </c>
      <c r="H33" s="61">
        <v>850</v>
      </c>
      <c r="I33" s="61">
        <v>1000</v>
      </c>
      <c r="J33" s="64">
        <v>112.5</v>
      </c>
      <c r="K33" s="62">
        <v>2720</v>
      </c>
      <c r="L33" s="24">
        <f t="shared" si="8"/>
        <v>1.1559999999999999</v>
      </c>
      <c r="M33" s="25">
        <f t="shared" si="9"/>
        <v>0.13004999999999997</v>
      </c>
      <c r="N33" s="62">
        <f t="shared" si="10"/>
        <v>1400</v>
      </c>
      <c r="O33" s="25">
        <f t="shared" si="11"/>
        <v>1.7183999999999999</v>
      </c>
      <c r="P33" s="68">
        <v>2.4</v>
      </c>
      <c r="Q33" s="25">
        <f t="shared" si="3"/>
        <v>0.68159999999999998</v>
      </c>
      <c r="R33" s="18">
        <f t="shared" si="4"/>
        <v>76.679999999999993</v>
      </c>
      <c r="S33" s="9">
        <f t="shared" si="5"/>
        <v>270</v>
      </c>
      <c r="T33" s="26">
        <f t="shared" si="6"/>
        <v>28.399999999999995</v>
      </c>
      <c r="U33" s="27">
        <f t="shared" si="7"/>
        <v>589.6193771626298</v>
      </c>
      <c r="X33" s="29"/>
    </row>
    <row r="34" spans="1:24" s="28" customFormat="1" ht="21" x14ac:dyDescent="0.35">
      <c r="A34" s="30" t="s">
        <v>23</v>
      </c>
      <c r="B34" s="6">
        <v>45960</v>
      </c>
      <c r="C34" s="2" t="s">
        <v>24</v>
      </c>
      <c r="D34" s="22" t="s">
        <v>36</v>
      </c>
      <c r="E34" s="22">
        <v>9002</v>
      </c>
      <c r="F34" s="2" t="s">
        <v>44</v>
      </c>
      <c r="G34" s="62">
        <v>0.5</v>
      </c>
      <c r="H34" s="61">
        <v>1220</v>
      </c>
      <c r="I34" s="61">
        <v>1000</v>
      </c>
      <c r="J34" s="64">
        <v>362.5</v>
      </c>
      <c r="K34" s="62">
        <v>2720</v>
      </c>
      <c r="L34" s="24">
        <f t="shared" si="8"/>
        <v>1.6592</v>
      </c>
      <c r="M34" s="25">
        <f>L34*J34/1000</f>
        <v>0.60145999999999999</v>
      </c>
      <c r="N34" s="62">
        <f t="shared" si="10"/>
        <v>1400</v>
      </c>
      <c r="O34" s="25">
        <f t="shared" si="11"/>
        <v>2.4228800000000001</v>
      </c>
      <c r="P34" s="68">
        <v>3.2</v>
      </c>
      <c r="Q34" s="25">
        <f t="shared" si="3"/>
        <v>0.77712000000000003</v>
      </c>
      <c r="R34" s="18">
        <f t="shared" si="4"/>
        <v>281.70600000000002</v>
      </c>
      <c r="S34" s="9">
        <f t="shared" si="5"/>
        <v>1160</v>
      </c>
      <c r="T34" s="26">
        <f t="shared" si="6"/>
        <v>24.285000000000004</v>
      </c>
      <c r="U34" s="27">
        <f t="shared" si="7"/>
        <v>468.37029893924785</v>
      </c>
      <c r="X34" s="29"/>
    </row>
    <row r="35" spans="1:24" s="28" customFormat="1" ht="21" x14ac:dyDescent="0.35">
      <c r="A35" s="30" t="s">
        <v>23</v>
      </c>
      <c r="B35" s="6">
        <v>45960</v>
      </c>
      <c r="C35" s="2" t="s">
        <v>24</v>
      </c>
      <c r="D35" s="22" t="s">
        <v>36</v>
      </c>
      <c r="E35" s="22">
        <v>9002</v>
      </c>
      <c r="F35" s="2" t="s">
        <v>45</v>
      </c>
      <c r="G35" s="62">
        <v>0.5</v>
      </c>
      <c r="H35" s="61">
        <v>1220</v>
      </c>
      <c r="I35" s="61">
        <v>1000</v>
      </c>
      <c r="J35" s="64">
        <v>12.5</v>
      </c>
      <c r="K35" s="62">
        <v>2720</v>
      </c>
      <c r="L35" s="24">
        <f t="shared" si="8"/>
        <v>1.6592</v>
      </c>
      <c r="M35" s="25">
        <f>L35*J35/1000</f>
        <v>2.0739999999999998E-2</v>
      </c>
      <c r="N35" s="62">
        <f t="shared" si="10"/>
        <v>1400</v>
      </c>
      <c r="O35" s="25">
        <f t="shared" si="11"/>
        <v>2.4228800000000001</v>
      </c>
      <c r="P35" s="68">
        <v>3.2</v>
      </c>
      <c r="Q35" s="25">
        <f t="shared" si="3"/>
        <v>0.77712000000000003</v>
      </c>
      <c r="R35" s="18">
        <f t="shared" si="4"/>
        <v>9.7140000000000004</v>
      </c>
      <c r="S35" s="9">
        <f t="shared" si="5"/>
        <v>40</v>
      </c>
      <c r="T35" s="26">
        <f t="shared" si="6"/>
        <v>24.285</v>
      </c>
      <c r="U35" s="27">
        <f t="shared" si="7"/>
        <v>468.3702989392479</v>
      </c>
      <c r="X35" s="29"/>
    </row>
    <row r="36" spans="1:24" ht="21" x14ac:dyDescent="0.35">
      <c r="A36" s="5" t="s">
        <v>23</v>
      </c>
      <c r="B36" s="6">
        <v>45960</v>
      </c>
      <c r="C36" s="2" t="s">
        <v>46</v>
      </c>
      <c r="D36" s="2" t="s">
        <v>36</v>
      </c>
      <c r="E36" s="22">
        <v>9002</v>
      </c>
      <c r="F36" s="2" t="s">
        <v>47</v>
      </c>
      <c r="G36" s="62">
        <v>0.5</v>
      </c>
      <c r="H36" s="61">
        <v>250</v>
      </c>
      <c r="I36" s="61">
        <v>1000</v>
      </c>
      <c r="J36" s="64">
        <v>837.5</v>
      </c>
      <c r="K36" s="62">
        <v>7850</v>
      </c>
      <c r="L36" s="8">
        <f t="shared" si="8"/>
        <v>0.98124999999999996</v>
      </c>
      <c r="M36" s="9">
        <f t="shared" ref="M36:M39" si="12">L36*J36/1000</f>
        <v>0.82179687499999998</v>
      </c>
      <c r="N36" s="62">
        <v>370</v>
      </c>
      <c r="O36" s="9">
        <f t="shared" si="11"/>
        <v>0.46306249999999993</v>
      </c>
      <c r="P36" s="68">
        <v>0.75</v>
      </c>
      <c r="Q36" s="9">
        <f t="shared" si="3"/>
        <v>0.28693750000000007</v>
      </c>
      <c r="R36" s="18">
        <f t="shared" si="4"/>
        <v>240.31015625000006</v>
      </c>
      <c r="S36" s="9">
        <f t="shared" si="5"/>
        <v>628.125</v>
      </c>
      <c r="T36" s="20">
        <f t="shared" si="6"/>
        <v>38.25833333333334</v>
      </c>
      <c r="U36" s="19">
        <f t="shared" si="7"/>
        <v>292.42038216560519</v>
      </c>
      <c r="X36" s="21"/>
    </row>
    <row r="37" spans="1:24" ht="21" x14ac:dyDescent="0.35">
      <c r="A37" s="5" t="s">
        <v>23</v>
      </c>
      <c r="B37" s="6">
        <v>45960</v>
      </c>
      <c r="C37" s="2" t="s">
        <v>46</v>
      </c>
      <c r="D37" s="2" t="s">
        <v>36</v>
      </c>
      <c r="E37" s="22">
        <v>9002</v>
      </c>
      <c r="F37" s="2" t="s">
        <v>41</v>
      </c>
      <c r="G37" s="62">
        <v>0.5</v>
      </c>
      <c r="H37" s="61">
        <v>350</v>
      </c>
      <c r="I37" s="61">
        <v>1000</v>
      </c>
      <c r="J37" s="64">
        <v>345</v>
      </c>
      <c r="K37" s="62">
        <v>7850</v>
      </c>
      <c r="L37" s="8">
        <f t="shared" si="8"/>
        <v>1.37375</v>
      </c>
      <c r="M37" s="9">
        <f t="shared" si="12"/>
        <v>0.47394375</v>
      </c>
      <c r="N37" s="62">
        <v>370</v>
      </c>
      <c r="O37" s="9">
        <f t="shared" si="11"/>
        <v>0.60828749999999998</v>
      </c>
      <c r="P37" s="68">
        <v>0.95</v>
      </c>
      <c r="Q37" s="9">
        <f t="shared" si="3"/>
        <v>0.34171249999999997</v>
      </c>
      <c r="R37" s="18">
        <f t="shared" si="4"/>
        <v>117.8908125</v>
      </c>
      <c r="S37" s="9">
        <f t="shared" si="5"/>
        <v>327.75</v>
      </c>
      <c r="T37" s="20">
        <f t="shared" si="6"/>
        <v>35.969736842105263</v>
      </c>
      <c r="U37" s="19">
        <f t="shared" si="7"/>
        <v>248.74431301182892</v>
      </c>
      <c r="X37" s="21"/>
    </row>
    <row r="38" spans="1:24" ht="21" x14ac:dyDescent="0.35">
      <c r="A38" s="5" t="s">
        <v>23</v>
      </c>
      <c r="B38" s="6">
        <v>45960</v>
      </c>
      <c r="C38" s="2" t="s">
        <v>46</v>
      </c>
      <c r="D38" s="2" t="s">
        <v>36</v>
      </c>
      <c r="E38" s="22">
        <v>9002</v>
      </c>
      <c r="F38" s="2" t="s">
        <v>42</v>
      </c>
      <c r="G38" s="62">
        <v>0.5</v>
      </c>
      <c r="H38" s="61">
        <v>650</v>
      </c>
      <c r="I38" s="61">
        <v>1000</v>
      </c>
      <c r="J38" s="64">
        <v>112.5</v>
      </c>
      <c r="K38" s="62">
        <v>7850</v>
      </c>
      <c r="L38" s="8">
        <f t="shared" si="8"/>
        <v>2.55125</v>
      </c>
      <c r="M38" s="9">
        <f t="shared" si="12"/>
        <v>0.287015625</v>
      </c>
      <c r="N38" s="62">
        <v>370</v>
      </c>
      <c r="O38" s="9">
        <f t="shared" si="11"/>
        <v>1.0439625000000001</v>
      </c>
      <c r="P38" s="68">
        <v>1.45</v>
      </c>
      <c r="Q38" s="9">
        <f t="shared" si="3"/>
        <v>0.40603749999999983</v>
      </c>
      <c r="R38" s="18">
        <f t="shared" si="4"/>
        <v>45.679218749999983</v>
      </c>
      <c r="S38" s="9">
        <f t="shared" si="5"/>
        <v>163.125</v>
      </c>
      <c r="T38" s="20">
        <f t="shared" si="6"/>
        <v>28.002586206896538</v>
      </c>
      <c r="U38" s="19">
        <f t="shared" si="7"/>
        <v>159.1523762861342</v>
      </c>
      <c r="X38" s="21"/>
    </row>
    <row r="39" spans="1:24" s="28" customFormat="1" ht="21" x14ac:dyDescent="0.35">
      <c r="A39" s="23" t="s">
        <v>23</v>
      </c>
      <c r="B39" s="6">
        <v>45960</v>
      </c>
      <c r="C39" s="2" t="s">
        <v>46</v>
      </c>
      <c r="D39" s="22" t="s">
        <v>36</v>
      </c>
      <c r="E39" s="22">
        <v>9002</v>
      </c>
      <c r="F39" s="2" t="s">
        <v>43</v>
      </c>
      <c r="G39" s="62">
        <v>0.5</v>
      </c>
      <c r="H39" s="61">
        <v>850</v>
      </c>
      <c r="I39" s="61">
        <v>1000</v>
      </c>
      <c r="J39" s="64">
        <v>172.5</v>
      </c>
      <c r="K39" s="62">
        <v>7850</v>
      </c>
      <c r="L39" s="24">
        <f t="shared" si="8"/>
        <v>3.3362500000000002</v>
      </c>
      <c r="M39" s="25">
        <f t="shared" si="12"/>
        <v>0.57550312500000012</v>
      </c>
      <c r="N39" s="62">
        <v>370</v>
      </c>
      <c r="O39" s="25">
        <f t="shared" si="11"/>
        <v>1.3344125000000002</v>
      </c>
      <c r="P39" s="68">
        <v>1.75</v>
      </c>
      <c r="Q39" s="25">
        <f t="shared" si="3"/>
        <v>0.41558749999999978</v>
      </c>
      <c r="R39" s="18">
        <f t="shared" si="4"/>
        <v>71.688843749999961</v>
      </c>
      <c r="S39" s="9">
        <f t="shared" si="5"/>
        <v>301.875</v>
      </c>
      <c r="T39" s="26">
        <f t="shared" si="6"/>
        <v>23.747857142857132</v>
      </c>
      <c r="U39" s="27">
        <f t="shared" si="7"/>
        <v>124.56725365305348</v>
      </c>
      <c r="X39" s="29"/>
    </row>
    <row r="40" spans="1:24" ht="21" x14ac:dyDescent="0.35">
      <c r="A40" s="5" t="s">
        <v>23</v>
      </c>
      <c r="B40" s="6">
        <v>45960</v>
      </c>
      <c r="C40" s="2" t="s">
        <v>48</v>
      </c>
      <c r="D40" s="2" t="s">
        <v>36</v>
      </c>
      <c r="E40" s="2" t="s">
        <v>49</v>
      </c>
      <c r="F40" s="2" t="s">
        <v>47</v>
      </c>
      <c r="G40" s="62">
        <v>1.5</v>
      </c>
      <c r="H40" s="61">
        <v>206</v>
      </c>
      <c r="I40" s="61">
        <v>1000</v>
      </c>
      <c r="J40" s="64">
        <v>1441.12</v>
      </c>
      <c r="K40" s="62">
        <v>7850</v>
      </c>
      <c r="L40" s="8">
        <f>G40*H40/1000*I40/1000*K40/1000</f>
        <v>2.4256500000000001</v>
      </c>
      <c r="M40" s="9">
        <f>L40*J40/1000</f>
        <v>3.495652728</v>
      </c>
      <c r="N40" s="62">
        <v>350</v>
      </c>
      <c r="O40" s="25">
        <f t="shared" si="11"/>
        <v>0.94897749999999992</v>
      </c>
      <c r="P40" s="68">
        <v>1.3</v>
      </c>
      <c r="Q40" s="9">
        <f t="shared" si="3"/>
        <v>0.35102250000000013</v>
      </c>
      <c r="R40" s="18">
        <f t="shared" si="4"/>
        <v>505.86554520000016</v>
      </c>
      <c r="S40" s="9">
        <f t="shared" si="5"/>
        <v>1873.4559999999999</v>
      </c>
      <c r="T40" s="20">
        <f t="shared" si="6"/>
        <v>27.001730769230779</v>
      </c>
      <c r="U40" s="19">
        <f t="shared" si="7"/>
        <v>144.71275740523163</v>
      </c>
      <c r="X40" s="21"/>
    </row>
    <row r="41" spans="1:24" ht="21" x14ac:dyDescent="0.35">
      <c r="A41" s="5" t="s">
        <v>23</v>
      </c>
      <c r="B41" s="6">
        <v>45960</v>
      </c>
      <c r="C41" s="2" t="s">
        <v>48</v>
      </c>
      <c r="D41" s="2" t="s">
        <v>36</v>
      </c>
      <c r="E41" s="2" t="s">
        <v>49</v>
      </c>
      <c r="F41" s="2" t="s">
        <v>50</v>
      </c>
      <c r="G41" s="62">
        <v>1.5</v>
      </c>
      <c r="H41" s="2"/>
      <c r="I41" s="2"/>
      <c r="J41" s="64">
        <v>440</v>
      </c>
      <c r="K41" s="7"/>
      <c r="L41" s="8"/>
      <c r="M41" s="9"/>
      <c r="N41" s="7"/>
      <c r="O41" s="9">
        <v>0.7</v>
      </c>
      <c r="P41" s="68">
        <f t="shared" ref="P41:P55" si="13">O41*1.2</f>
        <v>0.84</v>
      </c>
      <c r="Q41" s="9">
        <f t="shared" si="3"/>
        <v>0.14000000000000001</v>
      </c>
      <c r="R41" s="18">
        <f t="shared" si="4"/>
        <v>61.600000000000009</v>
      </c>
      <c r="S41" s="9">
        <f t="shared" si="5"/>
        <v>369.59999999999997</v>
      </c>
      <c r="T41" s="20">
        <f t="shared" si="6"/>
        <v>16.666666666666671</v>
      </c>
      <c r="U41" s="19"/>
      <c r="X41" s="21"/>
    </row>
    <row r="42" spans="1:24" ht="21" x14ac:dyDescent="0.35">
      <c r="A42" s="5" t="s">
        <v>23</v>
      </c>
      <c r="B42" s="6">
        <v>45960</v>
      </c>
      <c r="C42" s="2" t="s">
        <v>48</v>
      </c>
      <c r="D42" s="2" t="s">
        <v>36</v>
      </c>
      <c r="E42" s="2" t="s">
        <v>49</v>
      </c>
      <c r="F42" s="2" t="s">
        <v>51</v>
      </c>
      <c r="G42" s="62">
        <v>1.5</v>
      </c>
      <c r="H42" s="2"/>
      <c r="I42" s="2"/>
      <c r="J42" s="64">
        <v>145</v>
      </c>
      <c r="K42" s="7"/>
      <c r="L42" s="8"/>
      <c r="M42" s="9"/>
      <c r="N42" s="7"/>
      <c r="O42" s="9">
        <v>0.7</v>
      </c>
      <c r="P42" s="68">
        <f t="shared" si="13"/>
        <v>0.84</v>
      </c>
      <c r="Q42" s="9">
        <f t="shared" si="3"/>
        <v>0.14000000000000001</v>
      </c>
      <c r="R42" s="18">
        <f t="shared" si="4"/>
        <v>20.3</v>
      </c>
      <c r="S42" s="9">
        <f t="shared" si="5"/>
        <v>121.8</v>
      </c>
      <c r="T42" s="20">
        <f t="shared" si="6"/>
        <v>16.666666666666668</v>
      </c>
      <c r="U42" s="19"/>
      <c r="X42" s="21"/>
    </row>
    <row r="43" spans="1:24" ht="21" x14ac:dyDescent="0.35">
      <c r="A43" s="5" t="s">
        <v>23</v>
      </c>
      <c r="B43" s="6">
        <v>45960</v>
      </c>
      <c r="C43" s="2" t="s">
        <v>24</v>
      </c>
      <c r="D43" s="22" t="s">
        <v>36</v>
      </c>
      <c r="E43" s="22">
        <v>9002</v>
      </c>
      <c r="F43" s="2" t="s">
        <v>52</v>
      </c>
      <c r="G43" s="7"/>
      <c r="H43" s="2"/>
      <c r="I43" s="22"/>
      <c r="J43" s="64">
        <v>12</v>
      </c>
      <c r="K43" s="7"/>
      <c r="L43" s="8"/>
      <c r="M43" s="9"/>
      <c r="N43" s="31"/>
      <c r="O43" s="9">
        <v>0.7</v>
      </c>
      <c r="P43" s="68">
        <f t="shared" si="13"/>
        <v>0.84</v>
      </c>
      <c r="Q43" s="9">
        <f t="shared" si="3"/>
        <v>0.14000000000000001</v>
      </c>
      <c r="R43" s="18">
        <f t="shared" si="4"/>
        <v>1.6800000000000002</v>
      </c>
      <c r="S43" s="9">
        <f t="shared" si="5"/>
        <v>10.08</v>
      </c>
      <c r="T43" s="20">
        <f t="shared" si="6"/>
        <v>16.666666666666668</v>
      </c>
      <c r="U43" s="19"/>
      <c r="X43" s="21"/>
    </row>
    <row r="44" spans="1:24" ht="21" x14ac:dyDescent="0.35">
      <c r="A44" s="5" t="s">
        <v>23</v>
      </c>
      <c r="B44" s="6">
        <v>45960</v>
      </c>
      <c r="C44" s="2" t="s">
        <v>24</v>
      </c>
      <c r="D44" s="22" t="s">
        <v>36</v>
      </c>
      <c r="E44" s="22">
        <v>9002</v>
      </c>
      <c r="F44" s="2" t="s">
        <v>53</v>
      </c>
      <c r="G44" s="7"/>
      <c r="H44" s="2"/>
      <c r="I44" s="22"/>
      <c r="J44" s="64">
        <v>70</v>
      </c>
      <c r="K44" s="7"/>
      <c r="L44" s="8"/>
      <c r="M44" s="9"/>
      <c r="N44" s="31"/>
      <c r="O44" s="9">
        <v>3</v>
      </c>
      <c r="P44" s="68">
        <f t="shared" si="13"/>
        <v>3.5999999999999996</v>
      </c>
      <c r="Q44" s="9">
        <f t="shared" si="3"/>
        <v>0.59999999999999964</v>
      </c>
      <c r="R44" s="18">
        <f t="shared" si="4"/>
        <v>41.999999999999972</v>
      </c>
      <c r="S44" s="9">
        <f t="shared" si="5"/>
        <v>251.99999999999997</v>
      </c>
      <c r="T44" s="20">
        <f t="shared" si="6"/>
        <v>16.666666666666657</v>
      </c>
      <c r="U44" s="19"/>
      <c r="X44" s="21"/>
    </row>
    <row r="45" spans="1:24" ht="21" x14ac:dyDescent="0.35">
      <c r="A45" s="5" t="s">
        <v>23</v>
      </c>
      <c r="B45" s="6">
        <v>45960</v>
      </c>
      <c r="C45" s="2" t="s">
        <v>24</v>
      </c>
      <c r="D45" s="22" t="s">
        <v>36</v>
      </c>
      <c r="E45" s="22">
        <v>9002</v>
      </c>
      <c r="F45" s="2" t="s">
        <v>54</v>
      </c>
      <c r="G45" s="7"/>
      <c r="H45" s="2"/>
      <c r="I45" s="22"/>
      <c r="J45" s="65">
        <v>0</v>
      </c>
      <c r="K45" s="7"/>
      <c r="L45" s="8"/>
      <c r="M45" s="9"/>
      <c r="N45" s="31"/>
      <c r="O45" s="9">
        <v>3</v>
      </c>
      <c r="P45" s="68">
        <f t="shared" si="13"/>
        <v>3.5999999999999996</v>
      </c>
      <c r="Q45" s="9">
        <f t="shared" si="3"/>
        <v>0.59999999999999964</v>
      </c>
      <c r="R45" s="18">
        <f t="shared" si="4"/>
        <v>0</v>
      </c>
      <c r="S45" s="9">
        <f t="shared" si="5"/>
        <v>0</v>
      </c>
      <c r="T45" s="20"/>
      <c r="U45" s="19"/>
      <c r="X45" s="21"/>
    </row>
    <row r="46" spans="1:24" ht="21" x14ac:dyDescent="0.35">
      <c r="A46" s="5" t="s">
        <v>23</v>
      </c>
      <c r="B46" s="6">
        <v>45960</v>
      </c>
      <c r="C46" s="2" t="s">
        <v>24</v>
      </c>
      <c r="D46" s="22" t="s">
        <v>36</v>
      </c>
      <c r="E46" s="22">
        <v>9002</v>
      </c>
      <c r="F46" s="2" t="s">
        <v>55</v>
      </c>
      <c r="G46" s="7"/>
      <c r="H46" s="2"/>
      <c r="I46" s="22"/>
      <c r="J46" s="65">
        <v>0</v>
      </c>
      <c r="K46" s="7"/>
      <c r="L46" s="8"/>
      <c r="M46" s="9"/>
      <c r="N46" s="31"/>
      <c r="O46" s="9">
        <v>3</v>
      </c>
      <c r="P46" s="68">
        <f t="shared" si="13"/>
        <v>3.5999999999999996</v>
      </c>
      <c r="Q46" s="9">
        <f t="shared" si="3"/>
        <v>0.59999999999999964</v>
      </c>
      <c r="R46" s="18">
        <f t="shared" si="4"/>
        <v>0</v>
      </c>
      <c r="S46" s="9">
        <f t="shared" si="5"/>
        <v>0</v>
      </c>
      <c r="T46" s="20"/>
      <c r="U46" s="19"/>
      <c r="X46" s="21"/>
    </row>
    <row r="47" spans="1:24" ht="21" x14ac:dyDescent="0.35">
      <c r="A47" s="5" t="s">
        <v>23</v>
      </c>
      <c r="B47" s="6">
        <v>45960</v>
      </c>
      <c r="C47" s="2" t="s">
        <v>24</v>
      </c>
      <c r="D47" s="2" t="s">
        <v>36</v>
      </c>
      <c r="E47" s="2">
        <v>9002</v>
      </c>
      <c r="F47" s="2" t="s">
        <v>56</v>
      </c>
      <c r="G47" s="7"/>
      <c r="H47" s="2"/>
      <c r="I47" s="2"/>
      <c r="J47" s="65">
        <v>0</v>
      </c>
      <c r="K47" s="7"/>
      <c r="L47" s="8"/>
      <c r="M47" s="9"/>
      <c r="N47" s="7"/>
      <c r="O47" s="9">
        <v>0.7</v>
      </c>
      <c r="P47" s="68">
        <f t="shared" si="13"/>
        <v>0.84</v>
      </c>
      <c r="Q47" s="9">
        <f t="shared" si="3"/>
        <v>0.14000000000000001</v>
      </c>
      <c r="R47" s="18">
        <f t="shared" si="4"/>
        <v>0</v>
      </c>
      <c r="S47" s="9">
        <f t="shared" si="5"/>
        <v>0</v>
      </c>
      <c r="T47" s="20"/>
      <c r="U47" s="19"/>
      <c r="X47" s="21"/>
    </row>
    <row r="48" spans="1:24" ht="21" x14ac:dyDescent="0.35">
      <c r="A48" s="5" t="s">
        <v>23</v>
      </c>
      <c r="B48" s="6">
        <v>45960</v>
      </c>
      <c r="C48" s="2" t="s">
        <v>39</v>
      </c>
      <c r="D48" s="2"/>
      <c r="E48" s="2"/>
      <c r="F48" s="2" t="s">
        <v>57</v>
      </c>
      <c r="G48" s="7" t="s">
        <v>58</v>
      </c>
      <c r="H48" s="2"/>
      <c r="I48" s="2"/>
      <c r="J48" s="64">
        <v>50300</v>
      </c>
      <c r="K48" s="7"/>
      <c r="L48" s="8"/>
      <c r="M48" s="9"/>
      <c r="N48" s="7"/>
      <c r="O48" s="32">
        <v>0.16500000000000001</v>
      </c>
      <c r="P48" s="68">
        <f>O48*1.2</f>
        <v>0.19800000000000001</v>
      </c>
      <c r="Q48" s="9">
        <f>P48-O48</f>
        <v>3.3000000000000002E-2</v>
      </c>
      <c r="R48" s="18">
        <f>Q48*J48</f>
        <v>1659.9</v>
      </c>
      <c r="S48" s="9">
        <f>P48*J48</f>
        <v>9959.4</v>
      </c>
      <c r="T48" s="20">
        <f>R48/S48%</f>
        <v>16.666666666666668</v>
      </c>
      <c r="U48" s="19"/>
      <c r="X48" s="21"/>
    </row>
    <row r="49" spans="1:24" ht="21" x14ac:dyDescent="0.35">
      <c r="A49" s="5" t="s">
        <v>23</v>
      </c>
      <c r="B49" s="6">
        <v>45960</v>
      </c>
      <c r="C49" s="2" t="s">
        <v>39</v>
      </c>
      <c r="D49" s="2"/>
      <c r="E49" s="2"/>
      <c r="F49" s="2" t="s">
        <v>59</v>
      </c>
      <c r="G49" s="7" t="s">
        <v>60</v>
      </c>
      <c r="H49" s="2"/>
      <c r="I49" s="2"/>
      <c r="J49" s="64">
        <v>5500</v>
      </c>
      <c r="K49" s="7"/>
      <c r="L49" s="8"/>
      <c r="M49" s="9"/>
      <c r="N49" s="7"/>
      <c r="O49" s="32">
        <v>1.7999999999999999E-2</v>
      </c>
      <c r="P49" s="68">
        <f>O49*1.2</f>
        <v>2.1599999999999998E-2</v>
      </c>
      <c r="Q49" s="9">
        <f>P49-O49</f>
        <v>3.599999999999999E-3</v>
      </c>
      <c r="R49" s="18">
        <f>Q49*J49</f>
        <v>19.799999999999994</v>
      </c>
      <c r="S49" s="9">
        <f>P49*J49</f>
        <v>118.79999999999998</v>
      </c>
      <c r="T49" s="20">
        <f>R49/S49%</f>
        <v>16.666666666666664</v>
      </c>
      <c r="U49" s="19"/>
      <c r="X49" s="21"/>
    </row>
    <row r="50" spans="1:24" ht="21" x14ac:dyDescent="0.35">
      <c r="A50" s="5" t="s">
        <v>23</v>
      </c>
      <c r="B50" s="6">
        <v>45960</v>
      </c>
      <c r="C50" s="2" t="s">
        <v>39</v>
      </c>
      <c r="D50" s="2"/>
      <c r="E50" s="2">
        <v>9002</v>
      </c>
      <c r="F50" s="2" t="s">
        <v>61</v>
      </c>
      <c r="G50" s="31" t="s">
        <v>62</v>
      </c>
      <c r="H50" s="2"/>
      <c r="I50" s="2"/>
      <c r="J50" s="64">
        <v>50300</v>
      </c>
      <c r="K50" s="7"/>
      <c r="L50" s="8"/>
      <c r="M50" s="9"/>
      <c r="N50" s="31"/>
      <c r="O50" s="32">
        <v>7.0000000000000001E-3</v>
      </c>
      <c r="P50" s="68">
        <f>O50*1.2</f>
        <v>8.3999999999999995E-3</v>
      </c>
      <c r="Q50" s="9">
        <f>P50-O50</f>
        <v>1.3999999999999993E-3</v>
      </c>
      <c r="R50" s="18">
        <f>Q50*J50</f>
        <v>70.419999999999973</v>
      </c>
      <c r="S50" s="9">
        <f>P50*J50</f>
        <v>422.52</v>
      </c>
      <c r="T50" s="20">
        <f>R50/S50%</f>
        <v>16.666666666666661</v>
      </c>
      <c r="U50" s="19"/>
      <c r="X50" s="21"/>
    </row>
    <row r="51" spans="1:24" ht="21" x14ac:dyDescent="0.35">
      <c r="A51" s="5" t="s">
        <v>23</v>
      </c>
      <c r="B51" s="6">
        <v>45960</v>
      </c>
      <c r="C51" s="2" t="s">
        <v>39</v>
      </c>
      <c r="D51" s="2"/>
      <c r="E51" s="2"/>
      <c r="F51" s="2" t="s">
        <v>63</v>
      </c>
      <c r="G51" s="7" t="s">
        <v>64</v>
      </c>
      <c r="H51" s="2"/>
      <c r="I51" s="2"/>
      <c r="J51" s="64">
        <v>41900</v>
      </c>
      <c r="K51" s="7"/>
      <c r="L51" s="8"/>
      <c r="M51" s="9"/>
      <c r="N51" s="31"/>
      <c r="O51" s="9">
        <v>3.7999999999999999E-2</v>
      </c>
      <c r="P51" s="68">
        <f>O51*1.2</f>
        <v>4.5599999999999995E-2</v>
      </c>
      <c r="Q51" s="9">
        <f>P51-O51</f>
        <v>7.5999999999999956E-3</v>
      </c>
      <c r="R51" s="18">
        <f>Q51*J51</f>
        <v>318.43999999999983</v>
      </c>
      <c r="S51" s="9">
        <f>P51*J51</f>
        <v>1910.6399999999999</v>
      </c>
      <c r="T51" s="20">
        <f>R51/S51%</f>
        <v>16.666666666666661</v>
      </c>
      <c r="U51" s="19"/>
      <c r="X51" s="21"/>
    </row>
    <row r="52" spans="1:24" s="28" customFormat="1" ht="21" x14ac:dyDescent="0.35">
      <c r="A52" s="23" t="s">
        <v>23</v>
      </c>
      <c r="B52" s="6">
        <v>45960</v>
      </c>
      <c r="C52" s="22" t="s">
        <v>39</v>
      </c>
      <c r="D52" s="22"/>
      <c r="E52" s="22"/>
      <c r="F52" s="2" t="s">
        <v>65</v>
      </c>
      <c r="G52" s="31" t="s">
        <v>66</v>
      </c>
      <c r="H52" s="22"/>
      <c r="I52" s="22"/>
      <c r="J52" s="64">
        <v>52710</v>
      </c>
      <c r="K52" s="31"/>
      <c r="L52" s="24"/>
      <c r="M52" s="25"/>
      <c r="N52" s="31"/>
      <c r="O52" s="25">
        <v>7.0000000000000001E-3</v>
      </c>
      <c r="P52" s="68">
        <f t="shared" si="13"/>
        <v>8.3999999999999995E-3</v>
      </c>
      <c r="Q52" s="25">
        <f t="shared" si="3"/>
        <v>1.3999999999999993E-3</v>
      </c>
      <c r="R52" s="18">
        <f t="shared" si="4"/>
        <v>73.793999999999969</v>
      </c>
      <c r="S52" s="9">
        <f t="shared" si="5"/>
        <v>442.76399999999995</v>
      </c>
      <c r="T52" s="26">
        <f t="shared" si="6"/>
        <v>16.666666666666661</v>
      </c>
      <c r="U52" s="27"/>
      <c r="X52" s="29"/>
    </row>
    <row r="53" spans="1:24" ht="21" x14ac:dyDescent="0.35">
      <c r="A53" s="5" t="s">
        <v>23</v>
      </c>
      <c r="B53" s="6">
        <v>45960</v>
      </c>
      <c r="C53" s="2" t="s">
        <v>39</v>
      </c>
      <c r="D53" s="2"/>
      <c r="E53" s="2"/>
      <c r="F53" s="2" t="s">
        <v>67</v>
      </c>
      <c r="G53" s="7" t="s">
        <v>68</v>
      </c>
      <c r="H53" s="2"/>
      <c r="I53" s="2"/>
      <c r="J53" s="64">
        <v>1360</v>
      </c>
      <c r="K53" s="7"/>
      <c r="L53" s="8"/>
      <c r="M53" s="9"/>
      <c r="N53" s="31"/>
      <c r="O53" s="32">
        <v>0.96</v>
      </c>
      <c r="P53" s="68">
        <f t="shared" si="13"/>
        <v>1.1519999999999999</v>
      </c>
      <c r="Q53" s="9">
        <f t="shared" si="3"/>
        <v>0.19199999999999995</v>
      </c>
      <c r="R53" s="18">
        <f t="shared" si="4"/>
        <v>261.11999999999995</v>
      </c>
      <c r="S53" s="9">
        <f t="shared" si="5"/>
        <v>1566.7199999999998</v>
      </c>
      <c r="T53" s="20">
        <f t="shared" si="6"/>
        <v>16.666666666666664</v>
      </c>
      <c r="U53" s="19"/>
      <c r="X53" s="21"/>
    </row>
    <row r="54" spans="1:24" s="11" customFormat="1" ht="21" x14ac:dyDescent="0.35">
      <c r="A54" s="5" t="s">
        <v>23</v>
      </c>
      <c r="B54" s="6">
        <v>45960</v>
      </c>
      <c r="C54" s="2" t="s">
        <v>39</v>
      </c>
      <c r="D54" s="2"/>
      <c r="E54" s="2"/>
      <c r="F54" s="33" t="s">
        <v>69</v>
      </c>
      <c r="G54" s="34"/>
      <c r="H54" s="33"/>
      <c r="I54" s="33"/>
      <c r="J54" s="66">
        <v>240</v>
      </c>
      <c r="K54" s="34"/>
      <c r="L54" s="35"/>
      <c r="M54" s="36"/>
      <c r="N54" s="34"/>
      <c r="O54" s="37">
        <v>0.505</v>
      </c>
      <c r="P54" s="68">
        <f t="shared" si="13"/>
        <v>0.60599999999999998</v>
      </c>
      <c r="Q54" s="9">
        <f t="shared" si="3"/>
        <v>0.10099999999999998</v>
      </c>
      <c r="R54" s="18">
        <f t="shared" si="4"/>
        <v>24.239999999999995</v>
      </c>
      <c r="S54" s="9">
        <f t="shared" si="5"/>
        <v>145.44</v>
      </c>
      <c r="T54" s="20">
        <f t="shared" si="6"/>
        <v>16.666666666666664</v>
      </c>
      <c r="U54" s="19"/>
    </row>
    <row r="55" spans="1:24" ht="21" x14ac:dyDescent="0.35">
      <c r="A55" s="5" t="s">
        <v>23</v>
      </c>
      <c r="B55" s="6">
        <v>45960</v>
      </c>
      <c r="C55" s="2" t="s">
        <v>39</v>
      </c>
      <c r="D55" s="2"/>
      <c r="E55" s="2"/>
      <c r="F55" s="2" t="s">
        <v>70</v>
      </c>
      <c r="G55" s="7" t="s">
        <v>71</v>
      </c>
      <c r="H55" s="2"/>
      <c r="I55" s="2"/>
      <c r="J55" s="64">
        <v>330</v>
      </c>
      <c r="K55" s="7"/>
      <c r="L55" s="8"/>
      <c r="M55" s="9"/>
      <c r="N55" s="31"/>
      <c r="O55" s="32">
        <v>0.55000000000000004</v>
      </c>
      <c r="P55" s="68">
        <f t="shared" si="13"/>
        <v>0.66</v>
      </c>
      <c r="Q55" s="9">
        <f t="shared" si="3"/>
        <v>0.10999999999999999</v>
      </c>
      <c r="R55" s="18">
        <f t="shared" si="4"/>
        <v>36.299999999999997</v>
      </c>
      <c r="S55" s="9">
        <f t="shared" si="5"/>
        <v>217.8</v>
      </c>
      <c r="T55" s="20">
        <f t="shared" si="6"/>
        <v>16.666666666666664</v>
      </c>
      <c r="U55" s="19"/>
      <c r="X55" s="21"/>
    </row>
    <row r="56" spans="1:24" ht="21" x14ac:dyDescent="0.35">
      <c r="A56" s="5" t="s">
        <v>23</v>
      </c>
      <c r="B56" s="6">
        <v>45960</v>
      </c>
      <c r="C56" s="2" t="s">
        <v>39</v>
      </c>
      <c r="D56" s="2"/>
      <c r="E56" s="7"/>
      <c r="F56" s="2" t="s">
        <v>72</v>
      </c>
      <c r="G56" s="7" t="s">
        <v>73</v>
      </c>
      <c r="H56" s="2"/>
      <c r="I56" s="2"/>
      <c r="J56" s="64">
        <v>6</v>
      </c>
      <c r="K56" s="7"/>
      <c r="L56" s="8"/>
      <c r="M56" s="9"/>
      <c r="N56" s="7"/>
      <c r="O56" s="9">
        <v>1.5</v>
      </c>
      <c r="P56" s="68">
        <f>+O56*1.2</f>
        <v>1.7999999999999998</v>
      </c>
      <c r="Q56" s="9">
        <f t="shared" si="3"/>
        <v>0.29999999999999982</v>
      </c>
      <c r="R56" s="18">
        <f t="shared" si="4"/>
        <v>1.7999999999999989</v>
      </c>
      <c r="S56" s="9">
        <f t="shared" si="5"/>
        <v>10.799999999999999</v>
      </c>
      <c r="T56" s="20">
        <f t="shared" si="6"/>
        <v>16.666666666666661</v>
      </c>
      <c r="U56" s="19"/>
      <c r="X56" s="21"/>
    </row>
    <row r="57" spans="1:24" ht="21" x14ac:dyDescent="0.35">
      <c r="A57" s="5" t="s">
        <v>23</v>
      </c>
      <c r="B57" s="6">
        <v>45960</v>
      </c>
      <c r="C57" s="2" t="s">
        <v>74</v>
      </c>
      <c r="D57" s="2"/>
      <c r="E57" s="7"/>
      <c r="F57" s="2" t="s">
        <v>75</v>
      </c>
      <c r="G57" s="7" t="s">
        <v>76</v>
      </c>
      <c r="H57" s="2"/>
      <c r="I57" s="2"/>
      <c r="J57" s="67">
        <f>+K10+K21</f>
        <v>4</v>
      </c>
      <c r="K57" s="7"/>
      <c r="L57" s="8"/>
      <c r="M57" s="9"/>
      <c r="N57" s="7"/>
      <c r="O57" s="9">
        <v>600</v>
      </c>
      <c r="P57" s="68">
        <v>600</v>
      </c>
      <c r="Q57" s="9">
        <f t="shared" si="3"/>
        <v>0</v>
      </c>
      <c r="R57" s="18">
        <f t="shared" si="4"/>
        <v>0</v>
      </c>
      <c r="S57" s="9">
        <f t="shared" si="5"/>
        <v>2400</v>
      </c>
      <c r="T57" s="20">
        <f t="shared" si="6"/>
        <v>0</v>
      </c>
      <c r="U57" s="19"/>
      <c r="X57" s="21"/>
    </row>
    <row r="58" spans="1:24" ht="21" x14ac:dyDescent="0.35">
      <c r="A58" s="38"/>
      <c r="B58" s="39"/>
      <c r="C58" s="11"/>
      <c r="D58" s="11"/>
      <c r="E58" s="40"/>
      <c r="F58" s="11"/>
      <c r="G58" s="40"/>
      <c r="H58" s="11"/>
      <c r="I58" s="11"/>
      <c r="J58" s="41"/>
      <c r="K58" s="40"/>
      <c r="L58" s="42"/>
      <c r="M58" s="43"/>
      <c r="N58" s="40"/>
      <c r="O58" s="43"/>
      <c r="P58" s="44"/>
      <c r="Q58" s="45" t="s">
        <v>77</v>
      </c>
      <c r="R58" s="18">
        <f>SUM(R41:R56)</f>
        <v>2591.3939999999998</v>
      </c>
      <c r="S58" s="18">
        <f>SUM(S41:S56)</f>
        <v>15548.363999999996</v>
      </c>
      <c r="T58" s="46"/>
      <c r="U58" s="47"/>
      <c r="X58" s="21"/>
    </row>
    <row r="59" spans="1:24" ht="21" x14ac:dyDescent="0.35">
      <c r="A59" s="38"/>
      <c r="P59" s="48"/>
      <c r="R59" s="49">
        <f>R11+SUM(R28:R57)</f>
        <v>5490.1840164499999</v>
      </c>
      <c r="S59" s="49">
        <f>S11+SUM(S28:S57)</f>
        <v>32077.544999999998</v>
      </c>
      <c r="T59" s="46">
        <f>R59/S59%</f>
        <v>17.115349745281318</v>
      </c>
    </row>
    <row r="60" spans="1:24" ht="21" x14ac:dyDescent="0.35">
      <c r="J60" s="50"/>
      <c r="R60" s="51"/>
      <c r="S60" s="49">
        <f>S59*0</f>
        <v>0</v>
      </c>
      <c r="T60" s="20" t="s">
        <v>78</v>
      </c>
    </row>
    <row r="61" spans="1:24" ht="21" x14ac:dyDescent="0.35">
      <c r="J61" s="50"/>
      <c r="R61" s="51"/>
      <c r="S61" s="49">
        <f>S59+S60</f>
        <v>32077.544999999998</v>
      </c>
      <c r="T61" s="20" t="s">
        <v>79</v>
      </c>
    </row>
    <row r="65" spans="12:21" ht="21" x14ac:dyDescent="0.35">
      <c r="L65" s="7" t="s">
        <v>80</v>
      </c>
      <c r="M65" s="9">
        <f>+SUM(M30:M35)+M28+M6</f>
        <v>2.9904903999999997</v>
      </c>
      <c r="N65" s="2">
        <f>N6</f>
        <v>1400</v>
      </c>
      <c r="O65" s="9">
        <f>M65*N65</f>
        <v>4186.6865599999992</v>
      </c>
    </row>
    <row r="66" spans="12:21" ht="21" x14ac:dyDescent="0.35">
      <c r="L66" s="2" t="s">
        <v>81</v>
      </c>
      <c r="M66" s="9">
        <f>M7</f>
        <v>1.4688000000000001</v>
      </c>
      <c r="N66" s="2">
        <f>N7</f>
        <v>1400</v>
      </c>
      <c r="O66" s="9">
        <f>M66*N66</f>
        <v>2056.3200000000002</v>
      </c>
      <c r="R66" s="52" t="s">
        <v>82</v>
      </c>
      <c r="S66" s="53">
        <f>S11</f>
        <v>7700</v>
      </c>
    </row>
    <row r="67" spans="12:21" ht="21" x14ac:dyDescent="0.35">
      <c r="L67" s="2" t="s">
        <v>83</v>
      </c>
      <c r="M67" s="9">
        <f>+M36+M37+M38+M39</f>
        <v>2.1582593750000001</v>
      </c>
      <c r="N67" s="2">
        <v>370</v>
      </c>
      <c r="O67" s="9">
        <f>M67*N67</f>
        <v>798.55596875000003</v>
      </c>
      <c r="R67" s="52" t="s">
        <v>84</v>
      </c>
      <c r="S67" s="53">
        <f>+S28</f>
        <v>453.59999999999997</v>
      </c>
    </row>
    <row r="68" spans="12:21" ht="21" x14ac:dyDescent="0.35">
      <c r="L68" s="2" t="s">
        <v>85</v>
      </c>
      <c r="M68" s="9">
        <f>M40</f>
        <v>3.495652728</v>
      </c>
      <c r="N68" s="2">
        <f>N40</f>
        <v>350</v>
      </c>
      <c r="O68" s="9">
        <f>M68*N68</f>
        <v>1223.4784548</v>
      </c>
      <c r="R68" s="52" t="s">
        <v>86</v>
      </c>
      <c r="S68" s="53">
        <f>+S29</f>
        <v>370</v>
      </c>
    </row>
    <row r="69" spans="12:21" ht="21" x14ac:dyDescent="0.35">
      <c r="L69" s="2" t="s">
        <v>87</v>
      </c>
      <c r="M69" s="9">
        <f>M8</f>
        <v>2.2149999999999999</v>
      </c>
      <c r="N69" s="2">
        <f>N8</f>
        <v>900</v>
      </c>
      <c r="O69" s="9">
        <f>M69*N69</f>
        <v>1993.4999999999998</v>
      </c>
      <c r="R69" s="52" t="s">
        <v>88</v>
      </c>
      <c r="S69" s="53">
        <f>S29</f>
        <v>370</v>
      </c>
    </row>
    <row r="70" spans="12:21" ht="21" x14ac:dyDescent="0.35">
      <c r="L70" s="2" t="s">
        <v>89</v>
      </c>
      <c r="M70" s="9"/>
      <c r="N70" s="2"/>
      <c r="O70" s="9">
        <f>S58-R58</f>
        <v>12956.969999999996</v>
      </c>
      <c r="R70" s="52" t="s">
        <v>90</v>
      </c>
      <c r="S70" s="53">
        <f>SUM(S30:S56)</f>
        <v>21153.944999999996</v>
      </c>
      <c r="U70">
        <v>1048.155</v>
      </c>
    </row>
    <row r="71" spans="12:21" ht="21" x14ac:dyDescent="0.35">
      <c r="L71" s="2" t="s">
        <v>91</v>
      </c>
      <c r="M71" s="2"/>
      <c r="N71" s="2"/>
      <c r="O71" s="17">
        <f>SUM(O65:O70)</f>
        <v>23215.510983549997</v>
      </c>
      <c r="R71" s="52" t="s">
        <v>92</v>
      </c>
      <c r="S71" s="53">
        <f>+S57</f>
        <v>2400</v>
      </c>
    </row>
    <row r="72" spans="12:21" ht="21" x14ac:dyDescent="0.35">
      <c r="L72" s="2" t="s">
        <v>93</v>
      </c>
      <c r="M72" s="2"/>
      <c r="N72" s="2"/>
      <c r="O72" s="9">
        <f>R10</f>
        <v>200</v>
      </c>
      <c r="R72" s="54" t="s">
        <v>94</v>
      </c>
      <c r="S72" s="55">
        <f>SUM(S65:S71)</f>
        <v>32447.544999999998</v>
      </c>
      <c r="U72" s="56">
        <f>150000-S72</f>
        <v>117552.455</v>
      </c>
    </row>
    <row r="73" spans="12:21" ht="21" x14ac:dyDescent="0.35">
      <c r="L73" s="2" t="s">
        <v>95</v>
      </c>
      <c r="M73" s="2"/>
      <c r="N73" s="2"/>
      <c r="O73" s="9">
        <f>R12</f>
        <v>667.27</v>
      </c>
      <c r="U73" s="21"/>
    </row>
    <row r="74" spans="12:21" ht="21" x14ac:dyDescent="0.35">
      <c r="L74" s="2" t="s">
        <v>96</v>
      </c>
      <c r="M74" s="2"/>
      <c r="N74" s="2"/>
      <c r="O74" s="9">
        <f>+S57</f>
        <v>2400</v>
      </c>
      <c r="P74" s="57">
        <f>O74/J57</f>
        <v>600</v>
      </c>
      <c r="Q74" s="58" t="s">
        <v>97</v>
      </c>
    </row>
    <row r="75" spans="12:21" ht="21" x14ac:dyDescent="0.35">
      <c r="L75" s="2" t="s">
        <v>98</v>
      </c>
      <c r="M75" s="2"/>
      <c r="N75" s="2"/>
      <c r="O75" s="9">
        <f>R13</f>
        <v>333.63499999999999</v>
      </c>
      <c r="P75" s="57">
        <f>O74/P74</f>
        <v>4</v>
      </c>
      <c r="Q75" s="58" t="s">
        <v>99</v>
      </c>
    </row>
    <row r="76" spans="12:21" ht="21" x14ac:dyDescent="0.35">
      <c r="L76" s="2" t="s">
        <v>100</v>
      </c>
      <c r="M76" s="2"/>
      <c r="N76" s="2"/>
      <c r="O76" s="59">
        <f>S59</f>
        <v>32077.544999999998</v>
      </c>
    </row>
    <row r="77" spans="12:21" ht="21" x14ac:dyDescent="0.35">
      <c r="L77" s="2" t="s">
        <v>101</v>
      </c>
      <c r="M77" s="2"/>
      <c r="N77" s="2"/>
      <c r="O77" s="60">
        <f>R59</f>
        <v>5490.1840164499999</v>
      </c>
    </row>
    <row r="78" spans="12:21" ht="21" x14ac:dyDescent="0.35">
      <c r="L78" s="2" t="s">
        <v>102</v>
      </c>
      <c r="M78" s="2"/>
      <c r="N78" s="2"/>
      <c r="O78" s="60">
        <f>+O77/O76%</f>
        <v>17.115349745281318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alhussein alhusseini</dc:creator>
  <cp:lastModifiedBy>alhussein alhusseini</cp:lastModifiedBy>
  <dcterms:created xsi:type="dcterms:W3CDTF">2025-10-30T09:16:57Z</dcterms:created>
  <dcterms:modified xsi:type="dcterms:W3CDTF">2025-10-30T09:53:44Z</dcterms:modified>
</cp:coreProperties>
</file>